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w Vigars\Research\repos\temoa-upstream\temoa_geospace\models\cost_models\transport\master_files\"/>
    </mc:Choice>
  </mc:AlternateContent>
  <xr:revisionPtr revIDLastSave="0" documentId="13_ncr:1_{1C2442AC-84D5-42DE-B0EE-987E7D32E8AB}" xr6:coauthVersionLast="47" xr6:coauthVersionMax="47" xr10:uidLastSave="{00000000-0000-0000-0000-000000000000}"/>
  <bookViews>
    <workbookView xWindow="-120" yWindow="-120" windowWidth="29040" windowHeight="15720" firstSheet="4" activeTab="6" xr2:uid="{00000000-000D-0000-FFFF-FFFF00000000}"/>
  </bookViews>
  <sheets>
    <sheet name="README" sheetId="1" r:id="rId1"/>
    <sheet name="Source_Index" sheetId="2" r:id="rId2"/>
    <sheet name="Assumptions and Parameters Pipe" sheetId="3" r:id="rId3"/>
    <sheet name="Transition Accelerator Pipe" sheetId="14" r:id="rId4"/>
    <sheet name="Assumptions and Parameter Comp" sheetId="16" r:id="rId5"/>
    <sheet name="Transition Accelerator Compress" sheetId="15" r:id="rId6"/>
    <sheet name="Normalized Transmission Costs" sheetId="12" r:id="rId7"/>
    <sheet name="Normalized CAPEX" sheetId="17" r:id="rId8"/>
    <sheet name="Normalized Variable OPEX" sheetId="18" r:id="rId9"/>
    <sheet name="Normalized Fixed OPEX" sheetId="1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2" l="1"/>
  <c r="G21" i="12"/>
  <c r="G22" i="12"/>
  <c r="G23" i="12"/>
  <c r="G24" i="12"/>
  <c r="G25" i="12"/>
  <c r="C7" i="18" s="1"/>
  <c r="G26" i="12"/>
  <c r="C8" i="18" s="1"/>
  <c r="G27" i="12"/>
  <c r="C9" i="18" s="1"/>
  <c r="G28" i="12"/>
  <c r="C10" i="18" s="1"/>
  <c r="G29" i="12"/>
  <c r="C11" i="18" s="1"/>
  <c r="G30" i="12"/>
  <c r="C12" i="18" s="1"/>
  <c r="G31" i="12"/>
  <c r="C13" i="18" s="1"/>
  <c r="G32" i="12"/>
  <c r="C14" i="18" s="1"/>
  <c r="C3" i="19"/>
  <c r="C4" i="19"/>
  <c r="C5" i="19"/>
  <c r="C6" i="19"/>
  <c r="C7" i="19"/>
  <c r="C8" i="19"/>
  <c r="C9" i="19"/>
  <c r="C10" i="19"/>
  <c r="C11" i="19"/>
  <c r="C12" i="19"/>
  <c r="C13" i="19"/>
  <c r="C14" i="19"/>
  <c r="B3" i="19"/>
  <c r="B4" i="19"/>
  <c r="B5" i="19"/>
  <c r="B6" i="19"/>
  <c r="B7" i="19"/>
  <c r="B8" i="19"/>
  <c r="B9" i="19"/>
  <c r="B10" i="19"/>
  <c r="B11" i="19"/>
  <c r="B12" i="19"/>
  <c r="B13" i="19"/>
  <c r="B14" i="19"/>
  <c r="A3" i="19"/>
  <c r="A4" i="19"/>
  <c r="A5" i="19"/>
  <c r="A6" i="19"/>
  <c r="A7" i="19"/>
  <c r="A8" i="19"/>
  <c r="A9" i="19"/>
  <c r="A10" i="19"/>
  <c r="A11" i="19"/>
  <c r="A12" i="19"/>
  <c r="A13" i="19"/>
  <c r="A14" i="19"/>
  <c r="C2" i="19"/>
  <c r="B2" i="19"/>
  <c r="A2" i="19"/>
  <c r="C3" i="18"/>
  <c r="C4" i="18"/>
  <c r="C5" i="18"/>
  <c r="C6" i="18"/>
  <c r="C2" i="18"/>
  <c r="B3" i="18"/>
  <c r="B4" i="18"/>
  <c r="B5" i="18"/>
  <c r="B6" i="18"/>
  <c r="B7" i="18"/>
  <c r="B8" i="18"/>
  <c r="B9" i="18"/>
  <c r="B10" i="18"/>
  <c r="B11" i="18"/>
  <c r="B12" i="18"/>
  <c r="B13" i="18"/>
  <c r="B14" i="18"/>
  <c r="B2" i="18"/>
  <c r="A3" i="18"/>
  <c r="A4" i="18"/>
  <c r="A5" i="18"/>
  <c r="A6" i="18"/>
  <c r="A7" i="18"/>
  <c r="A8" i="18"/>
  <c r="A9" i="18"/>
  <c r="A10" i="18"/>
  <c r="A11" i="18"/>
  <c r="A12" i="18"/>
  <c r="A13" i="18"/>
  <c r="A14" i="18"/>
  <c r="A2" i="18"/>
  <c r="C14" i="17"/>
  <c r="B3" i="17"/>
  <c r="B4" i="17"/>
  <c r="B5" i="17"/>
  <c r="B6" i="17"/>
  <c r="B7" i="17"/>
  <c r="B8" i="17"/>
  <c r="B9" i="17"/>
  <c r="B10" i="17"/>
  <c r="B11" i="17"/>
  <c r="B12" i="17"/>
  <c r="B13" i="17"/>
  <c r="B14" i="17"/>
  <c r="B2" i="17"/>
  <c r="A14" i="17"/>
  <c r="A3" i="17"/>
  <c r="A4" i="17"/>
  <c r="A5" i="17"/>
  <c r="A6" i="17"/>
  <c r="A7" i="17"/>
  <c r="A8" i="17"/>
  <c r="A9" i="17"/>
  <c r="A10" i="17"/>
  <c r="A11" i="17"/>
  <c r="A12" i="17"/>
  <c r="A13" i="17"/>
  <c r="A2" i="17"/>
  <c r="C3" i="17"/>
  <c r="C4" i="17"/>
  <c r="C5" i="17"/>
  <c r="C6" i="17"/>
  <c r="C7" i="17"/>
  <c r="C8" i="17"/>
  <c r="C9" i="17"/>
  <c r="C10" i="17"/>
  <c r="C11" i="17"/>
  <c r="C12" i="17"/>
  <c r="C13" i="17"/>
  <c r="C2" i="17"/>
  <c r="I38" i="12"/>
  <c r="I39" i="12"/>
  <c r="I40" i="12"/>
  <c r="I41" i="12"/>
  <c r="I42" i="12"/>
  <c r="I43" i="12"/>
  <c r="I44" i="12"/>
  <c r="I45" i="12"/>
  <c r="I46" i="12"/>
  <c r="I47" i="12"/>
  <c r="I48" i="12"/>
  <c r="I49" i="12"/>
  <c r="I37" i="12"/>
  <c r="F21" i="12"/>
  <c r="F22" i="12"/>
  <c r="F23" i="12"/>
  <c r="F24" i="12"/>
  <c r="F25" i="12"/>
  <c r="F26" i="12"/>
  <c r="F27" i="12"/>
  <c r="F28" i="12"/>
  <c r="F29" i="12"/>
  <c r="F30" i="12"/>
  <c r="F31" i="12"/>
  <c r="F32" i="12"/>
  <c r="F20" i="12"/>
  <c r="C6" i="14"/>
  <c r="D48" i="14" s="1"/>
  <c r="A38" i="12" l="1"/>
  <c r="A39" i="12"/>
  <c r="A40" i="12"/>
  <c r="A41" i="12"/>
  <c r="A42" i="12"/>
  <c r="A43" i="12"/>
  <c r="A44" i="12"/>
  <c r="A45" i="12"/>
  <c r="A46" i="12"/>
  <c r="A47" i="12"/>
  <c r="A48" i="12"/>
  <c r="A49" i="12"/>
  <c r="A37" i="12"/>
  <c r="A21" i="12"/>
  <c r="A22" i="12"/>
  <c r="A23" i="12"/>
  <c r="A24" i="12"/>
  <c r="A25" i="12"/>
  <c r="A26" i="12"/>
  <c r="A27" i="12"/>
  <c r="A28" i="12"/>
  <c r="A29" i="12"/>
  <c r="A30" i="12"/>
  <c r="A31" i="12"/>
  <c r="A32" i="12"/>
  <c r="A20" i="12"/>
  <c r="A15" i="12"/>
  <c r="A4" i="12"/>
  <c r="A5" i="12"/>
  <c r="A6" i="12"/>
  <c r="A7" i="12"/>
  <c r="A8" i="12"/>
  <c r="A9" i="12"/>
  <c r="A10" i="12"/>
  <c r="A11" i="12"/>
  <c r="A12" i="12"/>
  <c r="A13" i="12"/>
  <c r="A14" i="12"/>
  <c r="A3" i="12"/>
  <c r="B24" i="15"/>
  <c r="A89" i="15"/>
  <c r="A90" i="15"/>
  <c r="A91" i="15"/>
  <c r="A92" i="15"/>
  <c r="A93" i="15"/>
  <c r="A94" i="15"/>
  <c r="A95" i="15"/>
  <c r="A96" i="15"/>
  <c r="A97" i="15"/>
  <c r="A98" i="15"/>
  <c r="A99" i="15"/>
  <c r="A100" i="15"/>
  <c r="A88" i="15"/>
  <c r="C49" i="15"/>
  <c r="C50" i="15" s="1"/>
  <c r="C48" i="15"/>
  <c r="A56" i="15"/>
  <c r="A140" i="15" s="1"/>
  <c r="A57" i="15"/>
  <c r="A141" i="15" s="1"/>
  <c r="A58" i="15"/>
  <c r="A142" i="15" s="1"/>
  <c r="A59" i="15"/>
  <c r="A109" i="15" s="1"/>
  <c r="A60" i="15"/>
  <c r="A144" i="15" s="1"/>
  <c r="A61" i="15"/>
  <c r="A145" i="15" s="1"/>
  <c r="A62" i="15"/>
  <c r="A112" i="15" s="1"/>
  <c r="A63" i="15"/>
  <c r="A113" i="15" s="1"/>
  <c r="A64" i="15"/>
  <c r="A148" i="15" s="1"/>
  <c r="A65" i="15"/>
  <c r="A115" i="15" s="1"/>
  <c r="A66" i="15"/>
  <c r="A116" i="15" s="1"/>
  <c r="A67" i="15"/>
  <c r="A117" i="15" s="1"/>
  <c r="A55" i="15"/>
  <c r="A139" i="15" s="1"/>
  <c r="C49" i="14"/>
  <c r="A100" i="14" s="1"/>
  <c r="C50" i="14"/>
  <c r="C51" i="14"/>
  <c r="A102" i="14" s="1"/>
  <c r="C52" i="14"/>
  <c r="A103" i="14" s="1"/>
  <c r="C53" i="14"/>
  <c r="A104" i="14" s="1"/>
  <c r="C54" i="14"/>
  <c r="A105" i="14" s="1"/>
  <c r="C55" i="14"/>
  <c r="A106" i="14" s="1"/>
  <c r="C56" i="14"/>
  <c r="A107" i="14" s="1"/>
  <c r="C57" i="14"/>
  <c r="C58" i="14"/>
  <c r="A92" i="14" s="1"/>
  <c r="C59" i="14"/>
  <c r="C60" i="14"/>
  <c r="C48" i="14"/>
  <c r="A82" i="14" s="1"/>
  <c r="C41" i="14"/>
  <c r="C40" i="14"/>
  <c r="D49" i="14" s="1"/>
  <c r="C38" i="14"/>
  <c r="A108" i="15" l="1"/>
  <c r="A107" i="15"/>
  <c r="A106" i="15"/>
  <c r="C39" i="14"/>
  <c r="F48" i="14" s="1"/>
  <c r="C67" i="15"/>
  <c r="B56" i="15"/>
  <c r="E49" i="14"/>
  <c r="A66" i="14" s="1"/>
  <c r="C66" i="15"/>
  <c r="C64" i="15"/>
  <c r="C63" i="15"/>
  <c r="A126" i="15"/>
  <c r="C65" i="15"/>
  <c r="A134" i="15"/>
  <c r="A127" i="15"/>
  <c r="A124" i="15"/>
  <c r="A123" i="15"/>
  <c r="C55" i="15"/>
  <c r="A125" i="15"/>
  <c r="A122" i="15"/>
  <c r="A105" i="15"/>
  <c r="A133" i="15"/>
  <c r="A132" i="15"/>
  <c r="A131" i="15"/>
  <c r="A130" i="15"/>
  <c r="A129" i="15"/>
  <c r="A128" i="15"/>
  <c r="A151" i="15"/>
  <c r="A149" i="15"/>
  <c r="A147" i="15"/>
  <c r="A146" i="15"/>
  <c r="A143" i="15"/>
  <c r="A111" i="15"/>
  <c r="A114" i="15"/>
  <c r="A110" i="15"/>
  <c r="A150" i="15"/>
  <c r="C62" i="15"/>
  <c r="C61" i="15"/>
  <c r="C57" i="15"/>
  <c r="C56" i="15"/>
  <c r="C58" i="15"/>
  <c r="C60" i="15"/>
  <c r="C59" i="15"/>
  <c r="D57" i="14"/>
  <c r="D52" i="14"/>
  <c r="D59" i="14"/>
  <c r="D56" i="14"/>
  <c r="D54" i="14"/>
  <c r="D51" i="14"/>
  <c r="D60" i="14"/>
  <c r="D58" i="14"/>
  <c r="D55" i="14"/>
  <c r="D53" i="14"/>
  <c r="D50" i="14"/>
  <c r="A111" i="14"/>
  <c r="A108" i="14"/>
  <c r="A110" i="14"/>
  <c r="A109" i="14"/>
  <c r="A101" i="14"/>
  <c r="A99" i="14"/>
  <c r="A94" i="14"/>
  <c r="F54" i="14"/>
  <c r="F53" i="14"/>
  <c r="F52" i="14"/>
  <c r="F51" i="14"/>
  <c r="A88" i="14"/>
  <c r="A87" i="14"/>
  <c r="A86" i="14"/>
  <c r="F60" i="14"/>
  <c r="A93" i="14"/>
  <c r="A91" i="14"/>
  <c r="F49" i="14"/>
  <c r="F59" i="14"/>
  <c r="F56" i="14"/>
  <c r="F55" i="14"/>
  <c r="A85" i="14"/>
  <c r="A84" i="14"/>
  <c r="A83" i="14"/>
  <c r="F50" i="14"/>
  <c r="F58" i="14"/>
  <c r="A90" i="14"/>
  <c r="F57" i="14"/>
  <c r="A89" i="14"/>
  <c r="B62" i="15" l="1"/>
  <c r="E55" i="14"/>
  <c r="A72" i="14" s="1"/>
  <c r="D72" i="14" s="1"/>
  <c r="B67" i="15"/>
  <c r="E60" i="14"/>
  <c r="A77" i="14" s="1"/>
  <c r="B57" i="15"/>
  <c r="E50" i="14"/>
  <c r="A67" i="14" s="1"/>
  <c r="B60" i="15"/>
  <c r="E53" i="14"/>
  <c r="A70" i="14" s="1"/>
  <c r="B65" i="15"/>
  <c r="E58" i="14"/>
  <c r="A75" i="14" s="1"/>
  <c r="E75" i="14" s="1"/>
  <c r="B55" i="15"/>
  <c r="E48" i="14"/>
  <c r="A65" i="14" s="1"/>
  <c r="E65" i="14" s="1"/>
  <c r="B58" i="15"/>
  <c r="E51" i="14"/>
  <c r="A68" i="14" s="1"/>
  <c r="D68" i="14" s="1"/>
  <c r="B61" i="15"/>
  <c r="E54" i="14"/>
  <c r="A71" i="14" s="1"/>
  <c r="E71" i="14" s="1"/>
  <c r="B63" i="15"/>
  <c r="E56" i="14"/>
  <c r="A73" i="14" s="1"/>
  <c r="C73" i="14" s="1"/>
  <c r="B66" i="15"/>
  <c r="E59" i="14"/>
  <c r="A76" i="14" s="1"/>
  <c r="B59" i="15"/>
  <c r="E52" i="14"/>
  <c r="A69" i="14" s="1"/>
  <c r="C69" i="14" s="1"/>
  <c r="B64" i="15"/>
  <c r="E57" i="14"/>
  <c r="A74" i="14" s="1"/>
  <c r="B40" i="12"/>
  <c r="B23" i="12"/>
  <c r="B6" i="12"/>
  <c r="B42" i="12"/>
  <c r="B25" i="12"/>
  <c r="B8" i="12"/>
  <c r="B41" i="12"/>
  <c r="B24" i="12"/>
  <c r="B7" i="12"/>
  <c r="B29" i="12"/>
  <c r="B46" i="12"/>
  <c r="B12" i="12"/>
  <c r="B30" i="12"/>
  <c r="B13" i="12"/>
  <c r="B47" i="12"/>
  <c r="B27" i="12"/>
  <c r="B44" i="12"/>
  <c r="B10" i="12"/>
  <c r="B37" i="12"/>
  <c r="B20" i="12"/>
  <c r="B3" i="12"/>
  <c r="B28" i="12"/>
  <c r="B11" i="12"/>
  <c r="B45" i="12"/>
  <c r="B32" i="12"/>
  <c r="B15" i="12"/>
  <c r="B49" i="12"/>
  <c r="B38" i="12"/>
  <c r="B4" i="12"/>
  <c r="B21" i="12"/>
  <c r="B39" i="12"/>
  <c r="B22" i="12"/>
  <c r="B5" i="12"/>
  <c r="B43" i="12"/>
  <c r="B26" i="12"/>
  <c r="B9" i="12"/>
  <c r="B31" i="12"/>
  <c r="B48" i="12"/>
  <c r="B14" i="12"/>
  <c r="G56" i="14"/>
  <c r="D63" i="15"/>
  <c r="G49" i="14"/>
  <c r="D56" i="15"/>
  <c r="G60" i="14"/>
  <c r="B77" i="14" s="1"/>
  <c r="D67" i="15"/>
  <c r="G53" i="14"/>
  <c r="B70" i="14" s="1"/>
  <c r="D60" i="15"/>
  <c r="G52" i="14"/>
  <c r="B103" i="14" s="1"/>
  <c r="D59" i="15"/>
  <c r="G58" i="14"/>
  <c r="D65" i="15"/>
  <c r="G55" i="14"/>
  <c r="H55" i="14" s="1"/>
  <c r="I55" i="14" s="1"/>
  <c r="D62" i="15"/>
  <c r="G54" i="14"/>
  <c r="D61" i="15"/>
  <c r="G48" i="14"/>
  <c r="D55" i="15"/>
  <c r="G59" i="14"/>
  <c r="D66" i="15"/>
  <c r="G51" i="14"/>
  <c r="B68" i="14" s="1"/>
  <c r="D58" i="15"/>
  <c r="G57" i="14"/>
  <c r="D64" i="15"/>
  <c r="G50" i="14"/>
  <c r="D57" i="15"/>
  <c r="C66" i="14"/>
  <c r="D66" i="14"/>
  <c r="F66" i="14"/>
  <c r="E66" i="14"/>
  <c r="C75" i="14"/>
  <c r="D75" i="14"/>
  <c r="F75" i="14"/>
  <c r="F70" i="14"/>
  <c r="C70" i="14"/>
  <c r="E70" i="14"/>
  <c r="D70" i="14"/>
  <c r="C72" i="14"/>
  <c r="E72" i="14"/>
  <c r="F72" i="14"/>
  <c r="D65" i="14" l="1"/>
  <c r="F65" i="14"/>
  <c r="C65" i="14"/>
  <c r="G65" i="14" s="1"/>
  <c r="H65" i="14" s="1"/>
  <c r="C71" i="14"/>
  <c r="C68" i="14"/>
  <c r="E68" i="14"/>
  <c r="F68" i="14"/>
  <c r="B69" i="14"/>
  <c r="F76" i="14"/>
  <c r="C76" i="14"/>
  <c r="D76" i="14"/>
  <c r="E76" i="14"/>
  <c r="F71" i="14"/>
  <c r="D71" i="14"/>
  <c r="E69" i="14"/>
  <c r="E73" i="14"/>
  <c r="F73" i="14"/>
  <c r="D67" i="14"/>
  <c r="C67" i="14"/>
  <c r="F67" i="14"/>
  <c r="E67" i="14"/>
  <c r="F77" i="14"/>
  <c r="C77" i="14"/>
  <c r="E77" i="14"/>
  <c r="D77" i="14"/>
  <c r="D69" i="14"/>
  <c r="D73" i="14"/>
  <c r="G73" i="14" s="1"/>
  <c r="H73" i="14" s="1"/>
  <c r="I73" i="14" s="1"/>
  <c r="E11" i="12" s="1"/>
  <c r="F69" i="14"/>
  <c r="D74" i="14"/>
  <c r="E74" i="14"/>
  <c r="F74" i="14"/>
  <c r="C74" i="14"/>
  <c r="B106" i="14"/>
  <c r="C47" i="12"/>
  <c r="C30" i="12"/>
  <c r="C13" i="12"/>
  <c r="C25" i="12"/>
  <c r="C8" i="12"/>
  <c r="C42" i="12"/>
  <c r="E61" i="15"/>
  <c r="B128" i="15" s="1"/>
  <c r="C128" i="15" s="1"/>
  <c r="C43" i="12"/>
  <c r="C26" i="12"/>
  <c r="C9" i="12"/>
  <c r="E62" i="15"/>
  <c r="B129" i="15" s="1"/>
  <c r="C129" i="15" s="1"/>
  <c r="C10" i="12"/>
  <c r="C44" i="12"/>
  <c r="C27" i="12"/>
  <c r="B111" i="14"/>
  <c r="B82" i="14"/>
  <c r="D82" i="14" s="1"/>
  <c r="E82" i="14" s="1"/>
  <c r="F82" i="14" s="1"/>
  <c r="G82" i="14" s="1"/>
  <c r="C37" i="12"/>
  <c r="C20" i="12"/>
  <c r="C3" i="12"/>
  <c r="H60" i="14"/>
  <c r="I60" i="14" s="1"/>
  <c r="E59" i="15"/>
  <c r="B126" i="15" s="1"/>
  <c r="C126" i="15" s="1"/>
  <c r="C7" i="12"/>
  <c r="C24" i="12"/>
  <c r="C41" i="12"/>
  <c r="E56" i="15"/>
  <c r="B123" i="15" s="1"/>
  <c r="C123" i="15" s="1"/>
  <c r="C4" i="12"/>
  <c r="C21" i="12"/>
  <c r="C38" i="12"/>
  <c r="D27" i="12"/>
  <c r="D10" i="12"/>
  <c r="D44" i="12"/>
  <c r="B92" i="14"/>
  <c r="D92" i="14" s="1"/>
  <c r="E92" i="14" s="1"/>
  <c r="F92" i="14" s="1"/>
  <c r="G92" i="14" s="1"/>
  <c r="B86" i="14"/>
  <c r="D86" i="14" s="1"/>
  <c r="E86" i="14" s="1"/>
  <c r="F86" i="14" s="1"/>
  <c r="G86" i="14" s="1"/>
  <c r="C5" i="12"/>
  <c r="C22" i="12"/>
  <c r="C39" i="12"/>
  <c r="H57" i="14"/>
  <c r="I57" i="14" s="1"/>
  <c r="C91" i="14" s="1"/>
  <c r="C29" i="12"/>
  <c r="C46" i="12"/>
  <c r="C12" i="12"/>
  <c r="B104" i="14"/>
  <c r="B71" i="14"/>
  <c r="H53" i="14"/>
  <c r="I53" i="14" s="1"/>
  <c r="H51" i="14"/>
  <c r="I51" i="14" s="1"/>
  <c r="C85" i="14" s="1"/>
  <c r="C6" i="12"/>
  <c r="C40" i="12"/>
  <c r="C23" i="12"/>
  <c r="B105" i="14"/>
  <c r="E66" i="15"/>
  <c r="B133" i="15" s="1"/>
  <c r="C133" i="15" s="1"/>
  <c r="C14" i="12"/>
  <c r="C31" i="12"/>
  <c r="C48" i="12"/>
  <c r="E67" i="15"/>
  <c r="B134" i="15" s="1"/>
  <c r="C134" i="15" s="1"/>
  <c r="C32" i="12"/>
  <c r="C49" i="12"/>
  <c r="C15" i="12"/>
  <c r="E63" i="15"/>
  <c r="B130" i="15" s="1"/>
  <c r="C130" i="15" s="1"/>
  <c r="C45" i="12"/>
  <c r="C11" i="12"/>
  <c r="C28" i="12"/>
  <c r="H58" i="14"/>
  <c r="I58" i="14" s="1"/>
  <c r="B94" i="14"/>
  <c r="D94" i="14" s="1"/>
  <c r="E94" i="14" s="1"/>
  <c r="F94" i="14" s="1"/>
  <c r="G94" i="14" s="1"/>
  <c r="H54" i="14"/>
  <c r="I54" i="14" s="1"/>
  <c r="C88" i="14" s="1"/>
  <c r="B110" i="14"/>
  <c r="B73" i="14"/>
  <c r="B93" i="14"/>
  <c r="D93" i="14" s="1"/>
  <c r="E93" i="14" s="1"/>
  <c r="F93" i="14" s="1"/>
  <c r="G93" i="14" s="1"/>
  <c r="B100" i="14"/>
  <c r="B66" i="14"/>
  <c r="B74" i="14"/>
  <c r="B91" i="14"/>
  <c r="D91" i="14" s="1"/>
  <c r="E91" i="14" s="1"/>
  <c r="F91" i="14" s="1"/>
  <c r="G91" i="14" s="1"/>
  <c r="B107" i="14"/>
  <c r="H56" i="14"/>
  <c r="I56" i="14" s="1"/>
  <c r="B88" i="14"/>
  <c r="D88" i="14" s="1"/>
  <c r="E88" i="14" s="1"/>
  <c r="F88" i="14" s="1"/>
  <c r="G88" i="14" s="1"/>
  <c r="H52" i="14"/>
  <c r="I52" i="14" s="1"/>
  <c r="B83" i="14"/>
  <c r="D83" i="14" s="1"/>
  <c r="E83" i="14" s="1"/>
  <c r="F83" i="14" s="1"/>
  <c r="G83" i="14" s="1"/>
  <c r="H49" i="14"/>
  <c r="I49" i="14" s="1"/>
  <c r="B72" i="14"/>
  <c r="B90" i="14"/>
  <c r="D90" i="14" s="1"/>
  <c r="E90" i="14" s="1"/>
  <c r="F90" i="14" s="1"/>
  <c r="G90" i="14" s="1"/>
  <c r="B85" i="14"/>
  <c r="D85" i="14" s="1"/>
  <c r="E85" i="14" s="1"/>
  <c r="F85" i="14" s="1"/>
  <c r="G85" i="14" s="1"/>
  <c r="B89" i="14"/>
  <c r="D89" i="14" s="1"/>
  <c r="E89" i="14" s="1"/>
  <c r="B101" i="14"/>
  <c r="E57" i="15"/>
  <c r="B124" i="15" s="1"/>
  <c r="C124" i="15" s="1"/>
  <c r="B102" i="14"/>
  <c r="E58" i="15"/>
  <c r="B125" i="15" s="1"/>
  <c r="C125" i="15" s="1"/>
  <c r="B99" i="14"/>
  <c r="E55" i="15"/>
  <c r="B122" i="15" s="1"/>
  <c r="C122" i="15" s="1"/>
  <c r="B76" i="14"/>
  <c r="B109" i="14"/>
  <c r="E65" i="15"/>
  <c r="B132" i="15" s="1"/>
  <c r="C132" i="15" s="1"/>
  <c r="H59" i="14"/>
  <c r="I59" i="14" s="1"/>
  <c r="B87" i="14"/>
  <c r="D87" i="14" s="1"/>
  <c r="E87" i="14" s="1"/>
  <c r="F87" i="14" s="1"/>
  <c r="G87" i="14" s="1"/>
  <c r="E60" i="15"/>
  <c r="B127" i="15" s="1"/>
  <c r="C127" i="15" s="1"/>
  <c r="B65" i="14"/>
  <c r="H48" i="14"/>
  <c r="I48" i="14" s="1"/>
  <c r="B84" i="14"/>
  <c r="D84" i="14" s="1"/>
  <c r="E84" i="14" s="1"/>
  <c r="F84" i="14" s="1"/>
  <c r="G84" i="14" s="1"/>
  <c r="B108" i="14"/>
  <c r="E64" i="15"/>
  <c r="B131" i="15" s="1"/>
  <c r="C131" i="15" s="1"/>
  <c r="B67" i="14"/>
  <c r="H50" i="14"/>
  <c r="I50" i="14" s="1"/>
  <c r="B75" i="14"/>
  <c r="G68" i="14"/>
  <c r="H68" i="14" s="1"/>
  <c r="I68" i="14" s="1"/>
  <c r="E6" i="12" s="1"/>
  <c r="C92" i="14"/>
  <c r="C109" i="14"/>
  <c r="C89" i="14"/>
  <c r="C106" i="14"/>
  <c r="G75" i="14"/>
  <c r="H75" i="14" s="1"/>
  <c r="I75" i="14" s="1"/>
  <c r="E13" i="12" s="1"/>
  <c r="G70" i="14"/>
  <c r="H70" i="14" s="1"/>
  <c r="I70" i="14" s="1"/>
  <c r="E8" i="12" s="1"/>
  <c r="G66" i="14"/>
  <c r="H66" i="14" s="1"/>
  <c r="I66" i="14" s="1"/>
  <c r="E4" i="12" s="1"/>
  <c r="G72" i="14"/>
  <c r="H72" i="14" s="1"/>
  <c r="I72" i="14" s="1"/>
  <c r="E10" i="12" s="1"/>
  <c r="B94" i="15" l="1"/>
  <c r="A77" i="15"/>
  <c r="C77" i="15" s="1"/>
  <c r="D77" i="15" s="1"/>
  <c r="C145" i="15" s="1"/>
  <c r="G71" i="14"/>
  <c r="H71" i="14" s="1"/>
  <c r="I71" i="14" s="1"/>
  <c r="E9" i="12" s="1"/>
  <c r="G77" i="14"/>
  <c r="H77" i="14" s="1"/>
  <c r="I77" i="14" s="1"/>
  <c r="E15" i="12" s="1"/>
  <c r="G76" i="14"/>
  <c r="H76" i="14" s="1"/>
  <c r="G69" i="14"/>
  <c r="H69" i="14" s="1"/>
  <c r="I69" i="14" s="1"/>
  <c r="E7" i="12" s="1"/>
  <c r="C108" i="14"/>
  <c r="C105" i="14"/>
  <c r="E111" i="14"/>
  <c r="G111" i="14"/>
  <c r="G67" i="14"/>
  <c r="H67" i="14" s="1"/>
  <c r="G74" i="14"/>
  <c r="H74" i="14" s="1"/>
  <c r="I65" i="14"/>
  <c r="E3" i="12" s="1"/>
  <c r="G99" i="14"/>
  <c r="F99" i="14"/>
  <c r="E99" i="14"/>
  <c r="D99" i="14"/>
  <c r="F111" i="14"/>
  <c r="D111" i="14"/>
  <c r="B145" i="15"/>
  <c r="D145" i="15" s="1"/>
  <c r="E145" i="15" s="1"/>
  <c r="F145" i="15" s="1"/>
  <c r="G145" i="15" s="1"/>
  <c r="H145" i="15" s="1"/>
  <c r="I145" i="15" s="1"/>
  <c r="F43" i="12" s="1"/>
  <c r="B111" i="15"/>
  <c r="C111" i="15" s="1"/>
  <c r="A78" i="15"/>
  <c r="C78" i="15" s="1"/>
  <c r="D78" i="15" s="1"/>
  <c r="E78" i="15" s="1"/>
  <c r="F78" i="15" s="1"/>
  <c r="A79" i="15"/>
  <c r="C79" i="15" s="1"/>
  <c r="D79" i="15" s="1"/>
  <c r="C96" i="15" s="1"/>
  <c r="D96" i="15" s="1"/>
  <c r="E96" i="15" s="1"/>
  <c r="F96" i="15" s="1"/>
  <c r="B146" i="15"/>
  <c r="D146" i="15" s="1"/>
  <c r="E146" i="15" s="1"/>
  <c r="F146" i="15" s="1"/>
  <c r="G146" i="15" s="1"/>
  <c r="H146" i="15" s="1"/>
  <c r="I146" i="15" s="1"/>
  <c r="F44" i="12" s="1"/>
  <c r="B96" i="15"/>
  <c r="B109" i="15"/>
  <c r="C109" i="15" s="1"/>
  <c r="B92" i="15"/>
  <c r="B112" i="15"/>
  <c r="C112" i="15" s="1"/>
  <c r="A75" i="15"/>
  <c r="B75" i="15" s="1"/>
  <c r="C75" i="15" s="1"/>
  <c r="D75" i="15" s="1"/>
  <c r="D109" i="15" s="1"/>
  <c r="E109" i="15" s="1"/>
  <c r="F109" i="15" s="1"/>
  <c r="A82" i="15"/>
  <c r="C82" i="15" s="1"/>
  <c r="D82" i="15" s="1"/>
  <c r="E82" i="15" s="1"/>
  <c r="F82" i="15" s="1"/>
  <c r="B143" i="15"/>
  <c r="D143" i="15" s="1"/>
  <c r="E143" i="15" s="1"/>
  <c r="F143" i="15" s="1"/>
  <c r="G143" i="15" s="1"/>
  <c r="H143" i="15" s="1"/>
  <c r="I143" i="15" s="1"/>
  <c r="F41" i="12" s="1"/>
  <c r="B113" i="15"/>
  <c r="C113" i="15" s="1"/>
  <c r="B117" i="15"/>
  <c r="C117" i="15" s="1"/>
  <c r="B116" i="15"/>
  <c r="C116" i="15" s="1"/>
  <c r="B147" i="15"/>
  <c r="D147" i="15" s="1"/>
  <c r="E147" i="15" s="1"/>
  <c r="F147" i="15" s="1"/>
  <c r="G147" i="15" s="1"/>
  <c r="H147" i="15" s="1"/>
  <c r="I147" i="15" s="1"/>
  <c r="F45" i="12" s="1"/>
  <c r="B99" i="15"/>
  <c r="C102" i="14"/>
  <c r="D15" i="12"/>
  <c r="D32" i="12"/>
  <c r="D49" i="12"/>
  <c r="C86" i="14"/>
  <c r="H86" i="14" s="1"/>
  <c r="I86" i="14" s="1"/>
  <c r="E41" i="12" s="1"/>
  <c r="D24" i="12"/>
  <c r="D41" i="12"/>
  <c r="D7" i="12"/>
  <c r="C111" i="14"/>
  <c r="C90" i="14"/>
  <c r="H90" i="14" s="1"/>
  <c r="I90" i="14" s="1"/>
  <c r="E45" i="12" s="1"/>
  <c r="D28" i="12"/>
  <c r="D11" i="12"/>
  <c r="D45" i="12"/>
  <c r="B151" i="15"/>
  <c r="D151" i="15" s="1"/>
  <c r="E151" i="15" s="1"/>
  <c r="C83" i="14"/>
  <c r="H83" i="14" s="1"/>
  <c r="I83" i="14" s="1"/>
  <c r="E38" i="12" s="1"/>
  <c r="D38" i="12"/>
  <c r="D4" i="12"/>
  <c r="D21" i="12"/>
  <c r="D12" i="12"/>
  <c r="D29" i="12"/>
  <c r="D46" i="12"/>
  <c r="C84" i="14"/>
  <c r="H84" i="14" s="1"/>
  <c r="I84" i="14" s="1"/>
  <c r="E39" i="12" s="1"/>
  <c r="D22" i="12"/>
  <c r="D39" i="12"/>
  <c r="D5" i="12"/>
  <c r="D25" i="12"/>
  <c r="D8" i="12"/>
  <c r="D42" i="12"/>
  <c r="C104" i="14"/>
  <c r="C87" i="14"/>
  <c r="H87" i="14" s="1"/>
  <c r="I87" i="14" s="1"/>
  <c r="E42" i="12" s="1"/>
  <c r="B150" i="15"/>
  <c r="D150" i="15" s="1"/>
  <c r="E150" i="15" s="1"/>
  <c r="F150" i="15" s="1"/>
  <c r="G150" i="15" s="1"/>
  <c r="H150" i="15" s="1"/>
  <c r="I150" i="15" s="1"/>
  <c r="F48" i="12" s="1"/>
  <c r="B106" i="15"/>
  <c r="C106" i="15" s="1"/>
  <c r="B140" i="15"/>
  <c r="D140" i="15" s="1"/>
  <c r="E140" i="15" s="1"/>
  <c r="F140" i="15" s="1"/>
  <c r="G140" i="15" s="1"/>
  <c r="H140" i="15" s="1"/>
  <c r="I140" i="15" s="1"/>
  <c r="F38" i="12" s="1"/>
  <c r="B89" i="15"/>
  <c r="D13" i="12"/>
  <c r="D30" i="12"/>
  <c r="D47" i="12"/>
  <c r="D20" i="12"/>
  <c r="D37" i="12"/>
  <c r="D3" i="12"/>
  <c r="C82" i="14"/>
  <c r="H82" i="14" s="1"/>
  <c r="I82" i="14" s="1"/>
  <c r="E37" i="12" s="1"/>
  <c r="D23" i="12"/>
  <c r="D40" i="12"/>
  <c r="D6" i="12"/>
  <c r="C94" i="14"/>
  <c r="H94" i="14" s="1"/>
  <c r="I94" i="14" s="1"/>
  <c r="E49" i="12" s="1"/>
  <c r="B100" i="15"/>
  <c r="C93" i="14"/>
  <c r="H93" i="14" s="1"/>
  <c r="I93" i="14" s="1"/>
  <c r="E48" i="12" s="1"/>
  <c r="D14" i="12"/>
  <c r="D31" i="12"/>
  <c r="D48" i="12"/>
  <c r="A72" i="15"/>
  <c r="B72" i="15" s="1"/>
  <c r="C72" i="15" s="1"/>
  <c r="D72" i="15" s="1"/>
  <c r="C140" i="15" s="1"/>
  <c r="A83" i="15"/>
  <c r="C83" i="15" s="1"/>
  <c r="D83" i="15" s="1"/>
  <c r="D117" i="15" s="1"/>
  <c r="E117" i="15" s="1"/>
  <c r="F117" i="15" s="1"/>
  <c r="D26" i="12"/>
  <c r="D43" i="12"/>
  <c r="D9" i="12"/>
  <c r="B95" i="15"/>
  <c r="B141" i="15"/>
  <c r="D141" i="15" s="1"/>
  <c r="E141" i="15" s="1"/>
  <c r="B107" i="15"/>
  <c r="C107" i="15" s="1"/>
  <c r="B105" i="15"/>
  <c r="C105" i="15" s="1"/>
  <c r="B139" i="15"/>
  <c r="D139" i="15" s="1"/>
  <c r="E139" i="15" s="1"/>
  <c r="B148" i="15"/>
  <c r="D148" i="15" s="1"/>
  <c r="E148" i="15" s="1"/>
  <c r="B114" i="15"/>
  <c r="C114" i="15" s="1"/>
  <c r="B149" i="15"/>
  <c r="D149" i="15" s="1"/>
  <c r="E149" i="15" s="1"/>
  <c r="B115" i="15"/>
  <c r="C115" i="15" s="1"/>
  <c r="B108" i="15"/>
  <c r="C108" i="15" s="1"/>
  <c r="B142" i="15"/>
  <c r="D142" i="15" s="1"/>
  <c r="E142" i="15" s="1"/>
  <c r="B144" i="15"/>
  <c r="D144" i="15" s="1"/>
  <c r="E144" i="15" s="1"/>
  <c r="B110" i="15"/>
  <c r="C110" i="15" s="1"/>
  <c r="A80" i="15"/>
  <c r="C80" i="15" s="1"/>
  <c r="D80" i="15" s="1"/>
  <c r="B97" i="15"/>
  <c r="A73" i="15"/>
  <c r="B73" i="15" s="1"/>
  <c r="C73" i="15" s="1"/>
  <c r="D73" i="15" s="1"/>
  <c r="B90" i="15"/>
  <c r="A76" i="15"/>
  <c r="C76" i="15" s="1"/>
  <c r="D76" i="15" s="1"/>
  <c r="B93" i="15"/>
  <c r="A81" i="15"/>
  <c r="C81" i="15" s="1"/>
  <c r="D81" i="15" s="1"/>
  <c r="B98" i="15"/>
  <c r="A74" i="15"/>
  <c r="B74" i="15" s="1"/>
  <c r="C74" i="15" s="1"/>
  <c r="D74" i="15" s="1"/>
  <c r="B91" i="15"/>
  <c r="A71" i="15"/>
  <c r="B71" i="15" s="1"/>
  <c r="C71" i="15" s="1"/>
  <c r="D71" i="15" s="1"/>
  <c r="B88" i="15"/>
  <c r="C100" i="14"/>
  <c r="C110" i="14"/>
  <c r="C107" i="14"/>
  <c r="C103" i="14"/>
  <c r="C99" i="14"/>
  <c r="C101" i="14"/>
  <c r="G102" i="14"/>
  <c r="F102" i="14"/>
  <c r="D102" i="14"/>
  <c r="E102" i="14"/>
  <c r="H91" i="14"/>
  <c r="I91" i="14" s="1"/>
  <c r="E46" i="12" s="1"/>
  <c r="F89" i="14"/>
  <c r="G89" i="14" s="1"/>
  <c r="H89" i="14" s="1"/>
  <c r="I89" i="14" s="1"/>
  <c r="E44" i="12" s="1"/>
  <c r="H88" i="14"/>
  <c r="I88" i="14" s="1"/>
  <c r="E43" i="12" s="1"/>
  <c r="H92" i="14"/>
  <c r="I92" i="14" s="1"/>
  <c r="E47" i="12" s="1"/>
  <c r="G105" i="14"/>
  <c r="F105" i="14"/>
  <c r="E105" i="14"/>
  <c r="D105" i="14"/>
  <c r="E106" i="14"/>
  <c r="G106" i="14"/>
  <c r="D106" i="14"/>
  <c r="F106" i="14"/>
  <c r="E107" i="14"/>
  <c r="F107" i="14"/>
  <c r="D107" i="14"/>
  <c r="G107" i="14"/>
  <c r="E104" i="14"/>
  <c r="D104" i="14"/>
  <c r="F104" i="14"/>
  <c r="G104" i="14"/>
  <c r="H85" i="14"/>
  <c r="I85" i="14" s="1"/>
  <c r="E40" i="12" s="1"/>
  <c r="F109" i="14"/>
  <c r="E109" i="14"/>
  <c r="G109" i="14"/>
  <c r="D109" i="14"/>
  <c r="D100" i="14"/>
  <c r="F100" i="14"/>
  <c r="E100" i="14"/>
  <c r="G100" i="14"/>
  <c r="E77" i="15" l="1"/>
  <c r="F77" i="15" s="1"/>
  <c r="C94" i="15"/>
  <c r="D94" i="15" s="1"/>
  <c r="E94" i="15" s="1"/>
  <c r="F94" i="15" s="1"/>
  <c r="G94" i="15" s="1"/>
  <c r="D111" i="15"/>
  <c r="E111" i="15" s="1"/>
  <c r="F111" i="15" s="1"/>
  <c r="G111" i="15" s="1"/>
  <c r="E26" i="12" s="1"/>
  <c r="H111" i="14"/>
  <c r="H99" i="14"/>
  <c r="E103" i="14"/>
  <c r="F103" i="14"/>
  <c r="G103" i="14"/>
  <c r="D103" i="14"/>
  <c r="H103" i="14" s="1"/>
  <c r="I103" i="14" s="1"/>
  <c r="J103" i="14" s="1"/>
  <c r="G41" i="12" s="1"/>
  <c r="D113" i="15"/>
  <c r="E113" i="15" s="1"/>
  <c r="F113" i="15" s="1"/>
  <c r="I76" i="14"/>
  <c r="E14" i="12" s="1"/>
  <c r="G110" i="14"/>
  <c r="F110" i="14"/>
  <c r="D110" i="14"/>
  <c r="E110" i="14"/>
  <c r="G113" i="15"/>
  <c r="E28" i="12" s="1"/>
  <c r="C146" i="15"/>
  <c r="I74" i="14"/>
  <c r="E12" i="12" s="1"/>
  <c r="F108" i="14"/>
  <c r="E108" i="14"/>
  <c r="G108" i="14"/>
  <c r="D108" i="14"/>
  <c r="I67" i="14"/>
  <c r="E5" i="12" s="1"/>
  <c r="G101" i="14"/>
  <c r="F101" i="14"/>
  <c r="E101" i="14"/>
  <c r="D101" i="14"/>
  <c r="E75" i="15"/>
  <c r="F75" i="15" s="1"/>
  <c r="C92" i="15"/>
  <c r="D92" i="15" s="1"/>
  <c r="E92" i="15" s="1"/>
  <c r="F92" i="15" s="1"/>
  <c r="G126" i="15" s="1"/>
  <c r="C147" i="15"/>
  <c r="C95" i="15"/>
  <c r="D95" i="15" s="1"/>
  <c r="E95" i="15" s="1"/>
  <c r="F95" i="15" s="1"/>
  <c r="G129" i="15" s="1"/>
  <c r="E79" i="15"/>
  <c r="F79" i="15" s="1"/>
  <c r="D112" i="15"/>
  <c r="E112" i="15" s="1"/>
  <c r="F112" i="15" s="1"/>
  <c r="G112" i="15" s="1"/>
  <c r="E27" i="12" s="1"/>
  <c r="C150" i="15"/>
  <c r="C143" i="15"/>
  <c r="H102" i="14"/>
  <c r="I102" i="14" s="1"/>
  <c r="J102" i="14" s="1"/>
  <c r="G40" i="12" s="1"/>
  <c r="D116" i="15"/>
  <c r="E116" i="15" s="1"/>
  <c r="F116" i="15" s="1"/>
  <c r="G116" i="15" s="1"/>
  <c r="E31" i="12" s="1"/>
  <c r="G109" i="15"/>
  <c r="E24" i="12" s="1"/>
  <c r="C99" i="15"/>
  <c r="D99" i="15" s="1"/>
  <c r="E99" i="15" s="1"/>
  <c r="F99" i="15" s="1"/>
  <c r="G99" i="15" s="1"/>
  <c r="G117" i="15"/>
  <c r="E32" i="12" s="1"/>
  <c r="D106" i="15"/>
  <c r="E106" i="15" s="1"/>
  <c r="F106" i="15" s="1"/>
  <c r="G106" i="15" s="1"/>
  <c r="E21" i="12" s="1"/>
  <c r="C89" i="15"/>
  <c r="D89" i="15" s="1"/>
  <c r="E89" i="15" s="1"/>
  <c r="F89" i="15" s="1"/>
  <c r="G123" i="15" s="1"/>
  <c r="E72" i="15"/>
  <c r="F72" i="15" s="1"/>
  <c r="C100" i="15"/>
  <c r="D100" i="15" s="1"/>
  <c r="E100" i="15" s="1"/>
  <c r="F100" i="15" s="1"/>
  <c r="G134" i="15" s="1"/>
  <c r="F151" i="15"/>
  <c r="G151" i="15" s="1"/>
  <c r="H151" i="15" s="1"/>
  <c r="I151" i="15" s="1"/>
  <c r="F49" i="12" s="1"/>
  <c r="C151" i="15"/>
  <c r="E83" i="15"/>
  <c r="F83" i="15" s="1"/>
  <c r="I111" i="14"/>
  <c r="J111" i="14" s="1"/>
  <c r="G49" i="12" s="1"/>
  <c r="F144" i="15"/>
  <c r="G144" i="15" s="1"/>
  <c r="H144" i="15" s="1"/>
  <c r="I144" i="15" s="1"/>
  <c r="F42" i="12" s="1"/>
  <c r="F142" i="15"/>
  <c r="G142" i="15" s="1"/>
  <c r="H142" i="15" s="1"/>
  <c r="I142" i="15" s="1"/>
  <c r="F40" i="12" s="1"/>
  <c r="F141" i="15"/>
  <c r="G141" i="15" s="1"/>
  <c r="H141" i="15" s="1"/>
  <c r="I141" i="15" s="1"/>
  <c r="F39" i="12" s="1"/>
  <c r="F139" i="15"/>
  <c r="G139" i="15" s="1"/>
  <c r="H139" i="15" s="1"/>
  <c r="F149" i="15"/>
  <c r="G149" i="15" s="1"/>
  <c r="H149" i="15" s="1"/>
  <c r="I149" i="15" s="1"/>
  <c r="F47" i="12" s="1"/>
  <c r="G96" i="15"/>
  <c r="G130" i="15"/>
  <c r="F148" i="15"/>
  <c r="G148" i="15" s="1"/>
  <c r="H148" i="15" s="1"/>
  <c r="I148" i="15" s="1"/>
  <c r="F46" i="12" s="1"/>
  <c r="C139" i="15"/>
  <c r="D105" i="15"/>
  <c r="E105" i="15" s="1"/>
  <c r="F105" i="15" s="1"/>
  <c r="G105" i="15" s="1"/>
  <c r="E20" i="12" s="1"/>
  <c r="C142" i="15"/>
  <c r="D108" i="15"/>
  <c r="E108" i="15" s="1"/>
  <c r="F108" i="15" s="1"/>
  <c r="G108" i="15" s="1"/>
  <c r="E23" i="12" s="1"/>
  <c r="D110" i="15"/>
  <c r="E110" i="15" s="1"/>
  <c r="F110" i="15" s="1"/>
  <c r="G110" i="15" s="1"/>
  <c r="E25" i="12" s="1"/>
  <c r="C144" i="15"/>
  <c r="C141" i="15"/>
  <c r="D107" i="15"/>
  <c r="E107" i="15" s="1"/>
  <c r="F107" i="15" s="1"/>
  <c r="G107" i="15" s="1"/>
  <c r="E22" i="12" s="1"/>
  <c r="C149" i="15"/>
  <c r="D115" i="15"/>
  <c r="E115" i="15" s="1"/>
  <c r="F115" i="15" s="1"/>
  <c r="G115" i="15" s="1"/>
  <c r="E30" i="12" s="1"/>
  <c r="D114" i="15"/>
  <c r="E114" i="15" s="1"/>
  <c r="F114" i="15" s="1"/>
  <c r="G114" i="15" s="1"/>
  <c r="E29" i="12" s="1"/>
  <c r="C148" i="15"/>
  <c r="E81" i="15"/>
  <c r="F81" i="15" s="1"/>
  <c r="C98" i="15"/>
  <c r="D98" i="15" s="1"/>
  <c r="E98" i="15" s="1"/>
  <c r="F98" i="15" s="1"/>
  <c r="C91" i="15"/>
  <c r="D91" i="15" s="1"/>
  <c r="E91" i="15" s="1"/>
  <c r="F91" i="15" s="1"/>
  <c r="E74" i="15"/>
  <c r="F74" i="15" s="1"/>
  <c r="E76" i="15"/>
  <c r="F76" i="15" s="1"/>
  <c r="C93" i="15"/>
  <c r="D93" i="15" s="1"/>
  <c r="E93" i="15" s="1"/>
  <c r="F93" i="15" s="1"/>
  <c r="C88" i="15"/>
  <c r="D88" i="15" s="1"/>
  <c r="E88" i="15" s="1"/>
  <c r="F88" i="15" s="1"/>
  <c r="E71" i="15"/>
  <c r="F71" i="15" s="1"/>
  <c r="E73" i="15"/>
  <c r="F73" i="15" s="1"/>
  <c r="C90" i="15"/>
  <c r="D90" i="15" s="1"/>
  <c r="E90" i="15" s="1"/>
  <c r="F90" i="15" s="1"/>
  <c r="E80" i="15"/>
  <c r="F80" i="15" s="1"/>
  <c r="C97" i="15"/>
  <c r="D97" i="15" s="1"/>
  <c r="E97" i="15" s="1"/>
  <c r="F97" i="15" s="1"/>
  <c r="H105" i="14"/>
  <c r="I105" i="14" s="1"/>
  <c r="J105" i="14" s="1"/>
  <c r="G43" i="12" s="1"/>
  <c r="I99" i="14"/>
  <c r="J99" i="14" s="1"/>
  <c r="G37" i="12" s="1"/>
  <c r="H107" i="14"/>
  <c r="I107" i="14" s="1"/>
  <c r="J107" i="14" s="1"/>
  <c r="G45" i="12" s="1"/>
  <c r="H104" i="14"/>
  <c r="I104" i="14" s="1"/>
  <c r="J104" i="14" s="1"/>
  <c r="G42" i="12" s="1"/>
  <c r="H106" i="14"/>
  <c r="I106" i="14" s="1"/>
  <c r="J106" i="14" s="1"/>
  <c r="G44" i="12" s="1"/>
  <c r="H100" i="14"/>
  <c r="I100" i="14" s="1"/>
  <c r="J100" i="14" s="1"/>
  <c r="G38" i="12" s="1"/>
  <c r="H109" i="14"/>
  <c r="I109" i="14" s="1"/>
  <c r="J109" i="14" s="1"/>
  <c r="G47" i="12" s="1"/>
  <c r="G128" i="15" l="1"/>
  <c r="H108" i="14"/>
  <c r="I108" i="14" s="1"/>
  <c r="J108" i="14" s="1"/>
  <c r="G46" i="12" s="1"/>
  <c r="H101" i="14"/>
  <c r="I101" i="14" s="1"/>
  <c r="J101" i="14" s="1"/>
  <c r="G39" i="12" s="1"/>
  <c r="G92" i="15"/>
  <c r="D126" i="15" s="1"/>
  <c r="G95" i="15"/>
  <c r="H95" i="15" s="1"/>
  <c r="F10" i="12" s="1"/>
  <c r="G10" i="12" s="1"/>
  <c r="H110" i="14"/>
  <c r="I110" i="14" s="1"/>
  <c r="J110" i="14" s="1"/>
  <c r="G48" i="12" s="1"/>
  <c r="G100" i="15"/>
  <c r="F134" i="15" s="1"/>
  <c r="G133" i="15"/>
  <c r="G89" i="15"/>
  <c r="H89" i="15" s="1"/>
  <c r="F4" i="12" s="1"/>
  <c r="G4" i="12" s="1"/>
  <c r="I139" i="15"/>
  <c r="F37" i="12" s="1"/>
  <c r="G90" i="15"/>
  <c r="G124" i="15"/>
  <c r="G93" i="15"/>
  <c r="G127" i="15"/>
  <c r="G98" i="15"/>
  <c r="G132" i="15"/>
  <c r="H99" i="15"/>
  <c r="F14" i="12" s="1"/>
  <c r="G14" i="12" s="1"/>
  <c r="D133" i="15"/>
  <c r="F133" i="15"/>
  <c r="E133" i="15"/>
  <c r="G97" i="15"/>
  <c r="G131" i="15"/>
  <c r="H96" i="15"/>
  <c r="F11" i="12" s="1"/>
  <c r="G11" i="12" s="1"/>
  <c r="D130" i="15"/>
  <c r="F130" i="15"/>
  <c r="E130" i="15"/>
  <c r="G88" i="15"/>
  <c r="G122" i="15"/>
  <c r="G91" i="15"/>
  <c r="G125" i="15"/>
  <c r="H94" i="15"/>
  <c r="F9" i="12" s="1"/>
  <c r="G9" i="12" s="1"/>
  <c r="F128" i="15"/>
  <c r="D128" i="15"/>
  <c r="E128" i="15"/>
  <c r="F126" i="15" l="1"/>
  <c r="E126" i="15"/>
  <c r="H92" i="15"/>
  <c r="F7" i="12" s="1"/>
  <c r="G7" i="12" s="1"/>
  <c r="E129" i="15"/>
  <c r="F129" i="15"/>
  <c r="D129" i="15"/>
  <c r="D134" i="15"/>
  <c r="H100" i="15"/>
  <c r="F15" i="12" s="1"/>
  <c r="G15" i="12" s="1"/>
  <c r="E134" i="15"/>
  <c r="D123" i="15"/>
  <c r="E123" i="15"/>
  <c r="F123" i="15"/>
  <c r="H128" i="15"/>
  <c r="I128" i="15" s="1"/>
  <c r="J128" i="15" s="1"/>
  <c r="H43" i="12" s="1"/>
  <c r="H130" i="15"/>
  <c r="I130" i="15" s="1"/>
  <c r="J130" i="15" s="1"/>
  <c r="H45" i="12" s="1"/>
  <c r="H98" i="15"/>
  <c r="F13" i="12" s="1"/>
  <c r="G13" i="12" s="1"/>
  <c r="D132" i="15"/>
  <c r="E132" i="15"/>
  <c r="F132" i="15"/>
  <c r="H93" i="15"/>
  <c r="F8" i="12" s="1"/>
  <c r="G8" i="12" s="1"/>
  <c r="F127" i="15"/>
  <c r="D127" i="15"/>
  <c r="E127" i="15"/>
  <c r="H97" i="15"/>
  <c r="F12" i="12" s="1"/>
  <c r="G12" i="12" s="1"/>
  <c r="D131" i="15"/>
  <c r="F131" i="15"/>
  <c r="E131" i="15"/>
  <c r="H91" i="15"/>
  <c r="F6" i="12" s="1"/>
  <c r="G6" i="12" s="1"/>
  <c r="E125" i="15"/>
  <c r="D125" i="15"/>
  <c r="F125" i="15"/>
  <c r="H133" i="15"/>
  <c r="I133" i="15" s="1"/>
  <c r="J133" i="15" s="1"/>
  <c r="H48" i="12" s="1"/>
  <c r="H88" i="15"/>
  <c r="F3" i="12" s="1"/>
  <c r="G3" i="12" s="1"/>
  <c r="D122" i="15"/>
  <c r="E122" i="15"/>
  <c r="F122" i="15"/>
  <c r="H90" i="15"/>
  <c r="F5" i="12" s="1"/>
  <c r="G5" i="12" s="1"/>
  <c r="F124" i="15"/>
  <c r="E124" i="15"/>
  <c r="D124" i="15"/>
  <c r="H129" i="15" l="1"/>
  <c r="I129" i="15" s="1"/>
  <c r="J129" i="15" s="1"/>
  <c r="H44" i="12" s="1"/>
  <c r="H126" i="15"/>
  <c r="I126" i="15" s="1"/>
  <c r="J126" i="15" s="1"/>
  <c r="H41" i="12" s="1"/>
  <c r="H134" i="15"/>
  <c r="I134" i="15" s="1"/>
  <c r="J134" i="15" s="1"/>
  <c r="H49" i="12" s="1"/>
  <c r="H123" i="15"/>
  <c r="I123" i="15" s="1"/>
  <c r="J123" i="15" s="1"/>
  <c r="H38" i="12" s="1"/>
  <c r="H122" i="15"/>
  <c r="I122" i="15" s="1"/>
  <c r="J122" i="15" s="1"/>
  <c r="H37" i="12" s="1"/>
  <c r="J37" i="12" s="1"/>
  <c r="H125" i="15"/>
  <c r="I125" i="15" s="1"/>
  <c r="J125" i="15" s="1"/>
  <c r="H40" i="12" s="1"/>
  <c r="H131" i="15"/>
  <c r="I131" i="15" s="1"/>
  <c r="J131" i="15" s="1"/>
  <c r="H46" i="12" s="1"/>
  <c r="H127" i="15"/>
  <c r="I127" i="15" s="1"/>
  <c r="J127" i="15" s="1"/>
  <c r="H42" i="12" s="1"/>
  <c r="H132" i="15"/>
  <c r="I132" i="15" s="1"/>
  <c r="J132" i="15" s="1"/>
  <c r="H47" i="12" s="1"/>
  <c r="H124" i="15"/>
  <c r="I124" i="15" s="1"/>
  <c r="J124" i="15" s="1"/>
  <c r="H39" i="12" s="1"/>
  <c r="J38" i="12" l="1"/>
  <c r="J39" i="12" s="1"/>
  <c r="J40" i="12" s="1"/>
  <c r="J41" i="12" s="1"/>
  <c r="J42" i="12" s="1"/>
  <c r="J43" i="12" s="1"/>
  <c r="J44" i="12" s="1"/>
  <c r="J45" i="12" s="1"/>
  <c r="J46" i="12" s="1"/>
  <c r="J47" i="12" s="1"/>
  <c r="J48" i="12" s="1"/>
  <c r="J49" i="12" s="1"/>
</calcChain>
</file>

<file path=xl/sharedStrings.xml><?xml version="1.0" encoding="utf-8"?>
<sst xmlns="http://schemas.openxmlformats.org/spreadsheetml/2006/main" count="2088" uniqueCount="1053">
  <si>
    <t>Purpose</t>
  </si>
  <si>
    <t>Sheet</t>
  </si>
  <si>
    <t>Role</t>
  </si>
  <si>
    <t>Source_Index</t>
  </si>
  <si>
    <t>Assumptions</t>
  </si>
  <si>
    <t>Source_ID</t>
  </si>
  <si>
    <t>Unit</t>
  </si>
  <si>
    <t>Notes</t>
  </si>
  <si>
    <t>The Techno-Economics of Hydrogen Pipelines</t>
  </si>
  <si>
    <t>fraction of TIC</t>
  </si>
  <si>
    <t>Table 6.1</t>
  </si>
  <si>
    <t>Category</t>
  </si>
  <si>
    <t>Parameter</t>
  </si>
  <si>
    <t>Value</t>
  </si>
  <si>
    <t>Source location</t>
  </si>
  <si>
    <t>Status / note</t>
  </si>
  <si>
    <t>dimensionless</t>
  </si>
  <si>
    <t>Pipeline lifetime</t>
  </si>
  <si>
    <t>years</t>
  </si>
  <si>
    <t>Permitting</t>
  </si>
  <si>
    <t>Annual labour hours</t>
  </si>
  <si>
    <t>Insurance</t>
  </si>
  <si>
    <t>Property tax</t>
  </si>
  <si>
    <t>CAPEX</t>
  </si>
  <si>
    <t>Transmission Pipeline Material</t>
  </si>
  <si>
    <t>Equation</t>
  </si>
  <si>
    <t>1.1 * 63027*exp(Diameter, in.*0.0697) * (Length, miles)</t>
  </si>
  <si>
    <t>Transmission Pipeline Labor</t>
  </si>
  <si>
    <t>1.1 * ([-51.393 * (Diameter, in.)2 + 43,523 * (Diameter, in.) + 16,171] *  (Length, miles))</t>
  </si>
  <si>
    <t>Transmission Pipeline Miscellaneous</t>
  </si>
  <si>
    <t>1.1 * ([303.13 * (Diameter, in.)2 + 12,908 * (Diameter, in.) + 123,245] * (Length, miles))</t>
  </si>
  <si>
    <t>2009 $US HDSAM model</t>
  </si>
  <si>
    <t>https://transitionaccelerator.ca/wp-content/uploads/2023/06/The-Techno-Economics-of-Hydrogen-Pipelines-v2.pdf</t>
  </si>
  <si>
    <t>https://transitionaccelerator.ca/wp-content/uploads/2023/06/The-Techno-Economics-of-Hydrogen-Pipelines-v2.pdf, https://hdsam.es.anl.gov/index.php?content=hdsam</t>
  </si>
  <si>
    <t>2009 $US</t>
  </si>
  <si>
    <t>Transmission Pipeline Right-of Way</t>
  </si>
  <si>
    <t>([-9E-13 * (Diameter, in.)2 + 4,417.1 * (Diameter, in.) + 164,241] * (Length, miles))</t>
  </si>
  <si>
    <t>Status/ note</t>
  </si>
  <si>
    <t>Source Assumptions and Core Equations</t>
  </si>
  <si>
    <t>Indirect CAPEX</t>
  </si>
  <si>
    <t>Site preparation</t>
  </si>
  <si>
    <t>Includes the purchase of land; grading and excavation of the site;  installation and hookup of electrical, water, and sewer systems; and construction of all internal roads, walkways, and parking lots</t>
  </si>
  <si>
    <t>Engineering and Design</t>
  </si>
  <si>
    <t>Includes salaries and overhead for the engineering, drafting,  and project management personnel on the project</t>
  </si>
  <si>
    <t>Project Contingency</t>
  </si>
  <si>
    <t>A factor to cover unforeseen circumstances, including  project risks or uncertainties). These may include loss of time due to storms and strikes, small changes in the design, and unexpected price increases</t>
  </si>
  <si>
    <t>The permitting costs are costs borne by the facilities to obtain the  necessary approvals to design and install the control equipment. This is a site-specific cost  where the costs borne by one facility may not translate well into another facility. However, because of the potential for delay, re-design, and other considerations, permitting costs should be included in the overall cost assessment</t>
  </si>
  <si>
    <t>see table above</t>
  </si>
  <si>
    <t>40% of TIC</t>
  </si>
  <si>
    <t>Labor Rate</t>
  </si>
  <si>
    <t>OPEX, variable</t>
  </si>
  <si>
    <t>Direct labour costs</t>
  </si>
  <si>
    <t>Direct labor, pipe ( $ / yr) = Annual hours (hrs / yr ) ∗ Labor rate ( $ / hrs)</t>
  </si>
  <si>
    <t>$CAD / yr</t>
  </si>
  <si>
    <t>hrs / yr</t>
  </si>
  <si>
    <t>CAPEX, h2_pipe</t>
  </si>
  <si>
    <t>x is avg pipeline use (kg H2 / day)</t>
  </si>
  <si>
    <t>Indirect labour costs</t>
  </si>
  <si>
    <t>Indirect labor factor</t>
  </si>
  <si>
    <t>used to consider the cost of overhead (i.e., head office, personnel)</t>
  </si>
  <si>
    <t>Indirect labor, pipe ( $ / yr) = Direct laborpipe ( $ / yr) ∗ Indirect labor factor (%)</t>
  </si>
  <si>
    <t>Depends on annual labour hours; 2019 $US</t>
  </si>
  <si>
    <t>2019 $US</t>
  </si>
  <si>
    <t>OPEX, Fixed, h2_pipe</t>
  </si>
  <si>
    <t>OPEX, fixed</t>
  </si>
  <si>
    <t>Licensing and permitting</t>
  </si>
  <si>
    <t>Operating, maintenance and repairs</t>
  </si>
  <si>
    <t>1% of TCI, pipe</t>
  </si>
  <si>
    <t>0.1% of TCI, pipe</t>
  </si>
  <si>
    <t>0.5% of TCI, pipe</t>
  </si>
  <si>
    <t>All non-labor fixed O&amp;M costs ($/yr) are calculated as a fraction of the TCI  to reflect that the larger and more complex, and therefore more expensive, projects have higher upkeep costs throughout the project life</t>
  </si>
  <si>
    <t>Exchange rate</t>
  </si>
  <si>
    <t>Variable</t>
  </si>
  <si>
    <t>Description</t>
  </si>
  <si>
    <t>Default Value</t>
  </si>
  <si>
    <t>Source</t>
  </si>
  <si>
    <t>Q</t>
  </si>
  <si>
    <t>Tb</t>
  </si>
  <si>
    <t>Pb</t>
  </si>
  <si>
    <t>P1</t>
  </si>
  <si>
    <t>P2</t>
  </si>
  <si>
    <t>H1</t>
  </si>
  <si>
    <t>H2</t>
  </si>
  <si>
    <t>Tf</t>
  </si>
  <si>
    <t>Z</t>
  </si>
  <si>
    <t>G</t>
  </si>
  <si>
    <t>L</t>
  </si>
  <si>
    <t>Le</t>
  </si>
  <si>
    <t>f</t>
  </si>
  <si>
    <t>Units</t>
  </si>
  <si>
    <t>mm</t>
  </si>
  <si>
    <t>K</t>
  </si>
  <si>
    <t>Inlet pressure</t>
  </si>
  <si>
    <t>Outlet pressure</t>
  </si>
  <si>
    <t>Ambient conditions</t>
  </si>
  <si>
    <t>Equation 2.7 from https://transitionaccelerator.ca/wp-content/uploads/2023/06/The-Techno-Economics-of-Hydrogen-Pipelines-v2.pdf</t>
  </si>
  <si>
    <t>m</t>
  </si>
  <si>
    <t>km</t>
  </si>
  <si>
    <t>Using Tf and https://h2tools.org/hyarc/hydrogen-data/hydrogen-compressibility-different-temperatures-and-pressures</t>
  </si>
  <si>
    <t>https://www.engineeringtoolbox.com/specific-gravities-gases-d_334.html</t>
  </si>
  <si>
    <t>Equation 2.9 from https://transitionaccelerator.ca/wp-content/uploads/2023/06/The-Techno-Economics-of-Hydrogen-Pipelines-v2.pdf</t>
  </si>
  <si>
    <t>Assumed from https://transitionaccelerator.ca/wp-content/uploads/2023/06/The-Techno-Economics-of-Hydrogen-Pipelines-v2.pdf</t>
  </si>
  <si>
    <t>https://www.sciencedirect.com/science/article/pii/S095965261832170X?via%3Dihub</t>
  </si>
  <si>
    <t>Pipeline sizes (mm, inner diameter)</t>
  </si>
  <si>
    <t>Notes about hydrogen cost factor from Ziqi:</t>
  </si>
  <si>
    <t>Pavg</t>
  </si>
  <si>
    <t>Vmax</t>
  </si>
  <si>
    <t>m/s</t>
  </si>
  <si>
    <t>R</t>
  </si>
  <si>
    <t>kPa</t>
  </si>
  <si>
    <t>s</t>
  </si>
  <si>
    <t>Gas flow rate (Sm^3/day)</t>
  </si>
  <si>
    <t>Capacity (kg H2 / day)</t>
  </si>
  <si>
    <t>Transmission Pipeline Capacity Estimation</t>
  </si>
  <si>
    <t>Material Costs ($ 2009 US / km)</t>
  </si>
  <si>
    <t>Miscellaneous ($ 2009 US / km)</t>
  </si>
  <si>
    <t>Right-of-way ($ 2009 US / km)</t>
  </si>
  <si>
    <t>Construction Labour ($ 2009 US / km)</t>
  </si>
  <si>
    <t>Annual Labor Hours (hrs)</t>
  </si>
  <si>
    <t>$2019 CAD / hr</t>
  </si>
  <si>
    <t>H2 Transmission Pipeline CAPEX</t>
  </si>
  <si>
    <t>Economic Meaning</t>
  </si>
  <si>
    <t>Model Units</t>
  </si>
  <si>
    <t>Status</t>
  </si>
  <si>
    <t>rho H2,b</t>
  </si>
  <si>
    <t>nd</t>
  </si>
  <si>
    <t>Base temperature</t>
  </si>
  <si>
    <t>Base pressure</t>
  </si>
  <si>
    <t>Inlet elevation</t>
  </si>
  <si>
    <t>Outlet elevation</t>
  </si>
  <si>
    <t>H2 gas specific gravity relative to air</t>
  </si>
  <si>
    <t>Darcy fricton factor</t>
  </si>
  <si>
    <t>Universal Gas Constant</t>
  </si>
  <si>
    <t>Hydrogen density at base conditions</t>
  </si>
  <si>
    <t>days per representative year</t>
  </si>
  <si>
    <t>Calculated</t>
  </si>
  <si>
    <t>Average flowing temperature</t>
  </si>
  <si>
    <t>kg H2/Sm^3</t>
  </si>
  <si>
    <t>Output</t>
  </si>
  <si>
    <t>Input</t>
  </si>
  <si>
    <t>Input constant</t>
  </si>
  <si>
    <t>Conversion factor</t>
  </si>
  <si>
    <t>days/year</t>
  </si>
  <si>
    <t>CANOE conversion</t>
  </si>
  <si>
    <t>Converted from 28 bar</t>
  </si>
  <si>
    <t>Converted from 70 bar</t>
  </si>
  <si>
    <t>Arbitrary assumption to get a baseline reference for a near-flat pipe over 250km</t>
  </si>
  <si>
    <t>Ambient conditions not assuming outdoor temperature varaibility, realistically this would differ in the winter</t>
  </si>
  <si>
    <t>Should correspond to P and T conditions of pipe</t>
  </si>
  <si>
    <t>Used by the general flow equation</t>
  </si>
  <si>
    <t>Reference engineering case, should be checked for sensitivity</t>
  </si>
  <si>
    <t>Dervied from Reynolds numbers and iterative solving; need to be re-solved if parameters are changed</t>
  </si>
  <si>
    <t>Used to convert Q to mass capacity</t>
  </si>
  <si>
    <t>Converts daily capacity into annual capcity</t>
  </si>
  <si>
    <t>Derived Hydraulic Parameters</t>
  </si>
  <si>
    <t>Cday</t>
  </si>
  <si>
    <t>Cyr</t>
  </si>
  <si>
    <t>Elevation adjustment parameter</t>
  </si>
  <si>
    <t>Equivalent pipeline length</t>
  </si>
  <si>
    <t>Average pipeline pressure</t>
  </si>
  <si>
    <t>Erosional Velocity</t>
  </si>
  <si>
    <t>Daily mass capacity</t>
  </si>
  <si>
    <t>Annual mass capacity</t>
  </si>
  <si>
    <t>kg H2/day</t>
  </si>
  <si>
    <t>t H2/yr</t>
  </si>
  <si>
    <t>Derived from elevation, G, Tf, and Z</t>
  </si>
  <si>
    <t>Derived from L and s</t>
  </si>
  <si>
    <t>Dervied from P1 and P2</t>
  </si>
  <si>
    <t>Equation 8 in transition accelerator</t>
  </si>
  <si>
    <t>Notes:</t>
  </si>
  <si>
    <t xml:space="preserve">Units have been normalized per km to ensure edge distance can be multiplied </t>
  </si>
  <si>
    <t>Pipeline sizes (inch, inner diameter)</t>
  </si>
  <si>
    <t>Current model Assumed Nominal pipeline size = inner diameter</t>
  </si>
  <si>
    <t>Daily Capacity (kg H2 / day)</t>
  </si>
  <si>
    <t>Annual Capacity (kg H2 / year)</t>
  </si>
  <si>
    <t>Annual Capacity (t H2 / year)</t>
  </si>
  <si>
    <t>Indirect CAPEX cost assumption multiplier</t>
  </si>
  <si>
    <t>Total Capital Investments ($ 2020 CAD / km)</t>
  </si>
  <si>
    <t>Total Labour Costs ($ 2019 CAD/ t H2)</t>
  </si>
  <si>
    <t>Annual Capacity (t H2 / yr)</t>
  </si>
  <si>
    <t>Direct Labor Costs ($ 2019 CAD / yr)</t>
  </si>
  <si>
    <t>Indirect Labour Costs ($ 2019 CAD/ yr)</t>
  </si>
  <si>
    <t>Total Labour Costs ($ 2019 CAD/ yr)</t>
  </si>
  <si>
    <t xml:space="preserve"> </t>
  </si>
  <si>
    <t>https://www150.statcan.gc.ca/t1/tbl1/en/tv.action?pid=3610013001&amp;pickMembers%5B0%5D=2.1&amp;cubeTimeFrame.startYear=2009&amp;cubeTimeFrame.endYear=2020&amp;referencePeriods=20090101%2C20200101</t>
  </si>
  <si>
    <t>GDP Deflator 2009</t>
  </si>
  <si>
    <t>GDP Deflator 2019</t>
  </si>
  <si>
    <t>GDP Deflator 2020</t>
  </si>
  <si>
    <t>The model uses indirect capital costs of 40% of total investment costs but only 28% were categorized in the accelerator document. This should be treated using sensitvity</t>
  </si>
  <si>
    <t>Annual labor hours (hr / yr) = 8760 ∗ ( x / 100,000) ^ 0.25</t>
  </si>
  <si>
    <t>Average gas compressibility factor</t>
  </si>
  <si>
    <t>Property Tax ($ 2009 US/ km*yr)</t>
  </si>
  <si>
    <t>Permitting ($ 2009 US/ km*yr)</t>
  </si>
  <si>
    <t>Operating, Maintenance, Repairs ($ 2009 US/ km*yr)</t>
  </si>
  <si>
    <t>Total Fixed OPEX ($ 2009 US / km*yr)</t>
  </si>
  <si>
    <t>Total Fixed OPEX ($ 2009 US / km* t H2)</t>
  </si>
  <si>
    <t>Total Fixed OPEX ($ 2020 CAD per year / km*  t H2 per year capacity)</t>
  </si>
  <si>
    <t>Insurance ($ 2009 US/km*yr)</t>
  </si>
  <si>
    <t>This is a representative model for a compressor associated with 250km long H2 pipeline segments</t>
  </si>
  <si>
    <t>Parameters must be adjusted if another distance is chosen (see previous worksheet)</t>
  </si>
  <si>
    <t>P</t>
  </si>
  <si>
    <t>S</t>
  </si>
  <si>
    <t>F</t>
  </si>
  <si>
    <t>J</t>
  </si>
  <si>
    <t>T</t>
  </si>
  <si>
    <t>Mpa</t>
  </si>
  <si>
    <t>Required pipeline Thickness (mm)</t>
  </si>
  <si>
    <t>Locational factor</t>
  </si>
  <si>
    <t>Design factor</t>
  </si>
  <si>
    <t>Joint factor</t>
  </si>
  <si>
    <t>https://www.sciencedirect.com/science/article/pii/S1750583607001193</t>
  </si>
  <si>
    <t>Unclear if max pressure should be used over average pipeline pressure</t>
  </si>
  <si>
    <t>Proxy from a CO2 pipeline TEA by McCoy and Rubin</t>
  </si>
  <si>
    <t>Proxy from a CO2 pipeline TEA by McCoy and Rubin; can vary spatially</t>
  </si>
  <si>
    <t>This would be accounted for by a cost surface c(i,j) modifier</t>
  </si>
  <si>
    <t>https://www.csagroup.org/standards/areas-of-focus/petroleum-natural-gas/standards-for-pipeline-safety/?srsltid=AfmBOoqOn1XJkHisMlvYtqmtJ2wq0C18E_Xcenv9L9HZob5a6nou7gJT</t>
  </si>
  <si>
    <t>Based on seemless welded pipe</t>
  </si>
  <si>
    <t>Pipelines are not operated above 120C thus temperature factor is set to 1</t>
  </si>
  <si>
    <t xml:space="preserve"> Pipeline Thickness Requirements (currently not considered but may influence material costs)</t>
  </si>
  <si>
    <t>Currently, an isentropic multistage reciprocating piston compressor is considered as the reference</t>
  </si>
  <si>
    <t>k</t>
  </si>
  <si>
    <t>Compressibility factor</t>
  </si>
  <si>
    <t>stages</t>
  </si>
  <si>
    <t>Dervied Model Units</t>
  </si>
  <si>
    <t>i. the work is equal at each stage</t>
  </si>
  <si>
    <t>ii. Pressure ratio per stage is equal</t>
  </si>
  <si>
    <t>iii. Temperature of gas in intercoolers is cooled to original suction temperature of first stage</t>
  </si>
  <si>
    <t>iv. There is no pressure drop or heat losses that occur in intercoolers between stages</t>
  </si>
  <si>
    <t>Multistage compressor assumptions:</t>
  </si>
  <si>
    <t>Model Input Paramters</t>
  </si>
  <si>
    <t>Molar flow (mol H2/s)</t>
  </si>
  <si>
    <t>Transmission Pipeline Capacity Summary</t>
  </si>
  <si>
    <t>Derived input</t>
  </si>
  <si>
    <t>kg/mol</t>
  </si>
  <si>
    <t>Isentropic efficiency factor (n,isen)</t>
  </si>
  <si>
    <t>Power, compressor (kW)</t>
  </si>
  <si>
    <t>v. Isentropic efficiency factor (n,isen) was capped at 0.88 as a performance cap given that curren literature values suggest 0.80 as the current hard cap.</t>
  </si>
  <si>
    <t>Transmission Pipeline H2 Compressor Power Estimation (for a 250km pipe)</t>
  </si>
  <si>
    <t>Cost Assumptions</t>
  </si>
  <si>
    <t>Factor</t>
  </si>
  <si>
    <t>Discount rate</t>
  </si>
  <si>
    <t>Project lifetime</t>
  </si>
  <si>
    <t>Rated compressor Power (kW)</t>
  </si>
  <si>
    <t>Energy Intensity (kWh /kg H2)</t>
  </si>
  <si>
    <t>Installation factor</t>
  </si>
  <si>
    <t>High flow rate - Moderate Compression Ratio H2 Compression CAPEX</t>
  </si>
  <si>
    <t>Uninstalled Costs ($ 2019 CAD / compressor station)</t>
  </si>
  <si>
    <t>Total Installed Costs ($ 2019 CAD / compressor station)</t>
  </si>
  <si>
    <t>High flow rate - Moderate Compression Ratio H2 Compression Energy OPEX, Variable (note: this is a placeholder until we use an internal ELC_GRID technology to link to provincial grid pricing)</t>
  </si>
  <si>
    <t>Annual operating hours</t>
  </si>
  <si>
    <t>Electricity price</t>
  </si>
  <si>
    <t>Electrical Energy Cost ($ 2019 CAD / yr)</t>
  </si>
  <si>
    <t>Electrical Energy Cost ($ 2020 CAD / yr)</t>
  </si>
  <si>
    <t>Insurance ($ 2019 CAD/km*yr)</t>
  </si>
  <si>
    <t>Property Tax ($ 2019 CAD/ km*yr)</t>
  </si>
  <si>
    <t>Permitting ($ 2019 CAD/ km*yr)</t>
  </si>
  <si>
    <t>Operating, Maintenance, Repairs ($ 2019 CAD/ km*yr)</t>
  </si>
  <si>
    <t>Total Fixed OPEX ($ 2019 CAD / km*yr)</t>
  </si>
  <si>
    <t>Total Fixed OPEX ($ 2019 CAD / km* t H2)</t>
  </si>
  <si>
    <t>Total Capital Investments ($ 2019 CAD / compressor station)</t>
  </si>
  <si>
    <t>Total Capital Investments ($ 2019 CAD / km)</t>
  </si>
  <si>
    <t>High flow rate - Moderate Compression Ratio H2 Compression Non-energy OPEX, Fixed</t>
  </si>
  <si>
    <t>Total Capital Investments, pipe ($ 2020 CAD / km)</t>
  </si>
  <si>
    <t>Total CAPEX ($ 2020 CAD / km)</t>
  </si>
  <si>
    <t>Distribution Cost-Capacity CAPEX Estimation</t>
  </si>
  <si>
    <t>Distribution Cost-Capacity Variable OPEX Estimation</t>
  </si>
  <si>
    <t>Note</t>
  </si>
  <si>
    <t>Distribution Cost-Capacity Fixed OPEX Estimation</t>
  </si>
  <si>
    <t>Total Fixed OPEX, pipe ($ 2020 CAD per year / km*  t H2 per year capacity)</t>
  </si>
  <si>
    <t>Total Fixed OPEX, compressor ($ 2020 CAD per year / km*  t H2 per year capacity)</t>
  </si>
  <si>
    <t>Total Labour Costs ($ 2020 CAD/ t H2*km)</t>
  </si>
  <si>
    <t>Electrical Energy Cost ($ 2020 CAD / t H2*km)</t>
  </si>
  <si>
    <t>Total Variable OPEX ($ 2020 CAD/ t H2*km)</t>
  </si>
  <si>
    <t>Energy Intensity (MWh /t H2)</t>
  </si>
  <si>
    <t>Assumptions and Parameters, Pipe</t>
  </si>
  <si>
    <t>Transition Accelerator Pipe</t>
  </si>
  <si>
    <t>Normalized Transmission Costs</t>
  </si>
  <si>
    <t>Temoa cost structure</t>
  </si>
  <si>
    <t>Stores source-derived and explicitly assumed physical, hydraulic, economic, and conversion inputs used by the pipeline model.</t>
  </si>
  <si>
    <t>Reconstructs pipeline capacity, capital cost, fixed operating cost, and related outputs across the selected pipeline design cases.</t>
  </si>
  <si>
    <t>Stores source-derived and explicitly assumed thermodynamic, equipment, economic, and conversion inputs used by the compressor model.</t>
  </si>
  <si>
    <t>Reconstructs compressor staging, power, capital cost, fixed operating cost, and electricity requirements for each pipeline capacity case.</t>
  </si>
  <si>
    <t>Combines pipeline and compressor outputs into a consistent capacity-indexed transmission dataset using common currency, distance, capacity, and time conventions.</t>
  </si>
  <si>
    <t>Maps normalized transmission outputs into CANOE/TEMOA parameter definitions and units, including piecewise capacity-cost segments, fixed costs, variable costs, electricity inputs, and lifetime.</t>
  </si>
  <si>
    <t>Records source information used for parameters, including source document, section, table or equation, original unit, extraction status, and interpretation notes.</t>
  </si>
  <si>
    <t>H₂ Transmission Pipeline Cost Model — Transition Accelerator Extraction Framework</t>
  </si>
  <si>
    <t>Assumptions and Parameters, Comp</t>
  </si>
  <si>
    <t>Transition Accelerator Comp</t>
  </si>
  <si>
    <t>The workbook is designed to support transparent extraction, validation, sensitivity analysis, and implementation of hydrogen transmission cost parameters. It is not intended to calculate a single levelized cost of hydrogen for direct use in CANOE/TEMOA. Instead, it separates investment, fixed operating, variable operating, and energy requirements so that the optimization model can apply its own capacity, activity, lifetime, discounting, and temporal structure.</t>
  </si>
  <si>
    <t>This workbook reconstructs and documents the engineering and cost models for new-build gaseous hydrogen transmission pipelines and associated compression systems. It reproduces source calculations from the Transition Accelerator pipeline and compression technical briefs, uses the Ziqi Wei thesis as an implementation and validation reference, converts source costs into a consistent currency and unit basis, and prepares the resulting capital, fixed operating, variable operating, and electricity requirements for mapping into CANOE/TEMOA</t>
  </si>
  <si>
    <t>Intended Use</t>
  </si>
  <si>
    <t>System Boundary</t>
  </si>
  <si>
    <t>Included</t>
  </si>
  <si>
    <t>Excluded</t>
  </si>
  <si>
    <t>new-build gaseous hydrogen transmission pipelines</t>
  </si>
  <si>
    <t>Pipeline material, labour, miscellaneous, installation, right-of-way costs included by the transition accelerator source</t>
  </si>
  <si>
    <t>Inlet compression</t>
  </si>
  <si>
    <t>Pipeline capital,  fixed and variable costs</t>
  </si>
  <si>
    <t>Compressor capital, fixed and variable costs</t>
  </si>
  <si>
    <t>En-route recompression normalized per km</t>
  </si>
  <si>
    <t>Compressor electricity requirements</t>
  </si>
  <si>
    <t>Capacity-dependent economies of scale</t>
  </si>
  <si>
    <t>Currency conversion and cost normalization</t>
  </si>
  <si>
    <t>Mapping to TEMOA cost and efficicency parameters</t>
  </si>
  <si>
    <t>Hydrogen production</t>
  </si>
  <si>
    <t>Hydrogen storage</t>
  </si>
  <si>
    <t>End-use distribution networks</t>
  </si>
  <si>
    <t>Fueling station compression</t>
  </si>
  <si>
    <t>Terminal end-fuel infrastructure</t>
  </si>
  <si>
    <t>Seasonal operating dyanmics</t>
  </si>
  <si>
    <t>Geographic consutrction cost multipliers</t>
  </si>
  <si>
    <t>Natural-gas pipeline repurposing</t>
  </si>
  <si>
    <t>Financing and discount (performed by TEMOA across all cost models)</t>
  </si>
  <si>
    <t>Taxes, subsidies, carbon pricing, or policy incentives</t>
  </si>
  <si>
    <t>Source_Type</t>
  </si>
  <si>
    <t>Title</t>
  </si>
  <si>
    <t>Year/Version</t>
  </si>
  <si>
    <t>Section</t>
  </si>
  <si>
    <t>Table / Equation / Figure</t>
  </si>
  <si>
    <t>Workbook symbol</t>
  </si>
  <si>
    <t>Source URL</t>
  </si>
  <si>
    <t>TA-PIPE-001</t>
  </si>
  <si>
    <t>Primary technical source</t>
  </si>
  <si>
    <t>2021 / Version 2</t>
  </si>
  <si>
    <t>5.3 Pipeline Levelized Cost</t>
  </si>
  <si>
    <t>Table 5.2</t>
  </si>
  <si>
    <t>pipeline_lifetime</t>
  </si>
  <si>
    <t>Assumptions and Parameters Pipe – Pipeline lifetime</t>
  </si>
  <si>
    <t>Physical pipeline lifetime reported by the source. Use as the technology lifetime; do not embed a capital recovery factor in CostInvest.</t>
  </si>
  <si>
    <t>TA-PIPE-002</t>
  </si>
  <si>
    <t>5.1 Pipeline Capital Costs</t>
  </si>
  <si>
    <t>Table 5.1 notes</t>
  </si>
  <si>
    <t>multiplier</t>
  </si>
  <si>
    <t>hydrogen_pipeline_cost_multiplier</t>
  </si>
  <si>
    <t>Assumptions and Parameters Pipe – Hydrogen pipeline cost multiplier</t>
  </si>
  <si>
    <t>Source applies a 1.1 hydrogen adjustment to the material, construction-labour, and miscellaneous transmission-pipeline correlations, but not to right-of-way. Retain for source reproduction and sensitivity analysis.</t>
  </si>
  <si>
    <t>TA-PIPE-003</t>
  </si>
  <si>
    <t>Equation 14</t>
  </si>
  <si>
    <t>indirect_capex_fraction</t>
  </si>
  <si>
    <t>Assumptions and Parameters Pipe – Indirect CAPEX cost assumption multiplier</t>
  </si>
  <si>
    <t>Indirect capital costs are calculated as 40% of total installed cost. The listed components total 28%, so the source also contains an unexplained residual of 12 percentage points.</t>
  </si>
  <si>
    <t>TA-PIPE-004</t>
  </si>
  <si>
    <t>Indirect-capital-cost breakdown</t>
  </si>
  <si>
    <t>site_preparation_fraction</t>
  </si>
  <si>
    <t>Assumptions and Parameters Pipe – Site preparation</t>
  </si>
  <si>
    <t>Includes land purchase, grading, excavation, utilities, internal roads, walkways, and parking areas. Component of the 40% total indirect-cost assumption.</t>
  </si>
  <si>
    <t>TA-PIPE-005</t>
  </si>
  <si>
    <t>engineering_design_fraction</t>
  </si>
  <si>
    <t>Assumptions and Parameters Pipe – Engineering and Design</t>
  </si>
  <si>
    <t>Includes engineering, drafting, project management, salaries, and associated overhead. Component of the 40% total indirect-cost assumption.</t>
  </si>
  <si>
    <t>TA-PIPE-006</t>
  </si>
  <si>
    <t>project_contingency_fraction</t>
  </si>
  <si>
    <t>Assumptions and Parameters Pipe – Project Contingency</t>
  </si>
  <si>
    <t>Covers unforeseen circumstances, project risks, design changes, delays, and unexpected price increases. Component of the 40% total indirect-cost assumption.</t>
  </si>
  <si>
    <t>TA-PIPE-007</t>
  </si>
  <si>
    <t>capital_permitting_fraction</t>
  </si>
  <si>
    <t>Assumptions and Parameters Pipe – Permitting</t>
  </si>
  <si>
    <t>One-time capital permitting allowance. Distinct from recurring annual licensing and permitting OPEX. Component of the 40% total indirect-cost assumption.</t>
  </si>
  <si>
    <t>TA-PIPE-008</t>
  </si>
  <si>
    <t>Table 5.1</t>
  </si>
  <si>
    <t>1.1 × 63027 × exp(0.0697D) × L</t>
  </si>
  <si>
    <t>2009 USD</t>
  </si>
  <si>
    <t>material_cost_pipeline</t>
  </si>
  <si>
    <t>Assumptions and Parameters Pipe – Transmission Pipeline Material</t>
  </si>
  <si>
    <t>TA-PIPE-009</t>
  </si>
  <si>
    <t>1.1 × (-51.393D² + 43523D + 16171) × L</t>
  </si>
  <si>
    <t>construction_labor_cost_pipeline</t>
  </si>
  <si>
    <t>Assumptions and Parameters Pipe – Transmission Pipeline Labor</t>
  </si>
  <si>
    <t>TA-PIPE-010</t>
  </si>
  <si>
    <t>1.1 × (303.13D² + 12908D + 123245) × L</t>
  </si>
  <si>
    <t>miscellaneous_cost_pipeline</t>
  </si>
  <si>
    <t>Assumptions and Parameters Pipe – Transmission Pipeline Miscellaneous</t>
  </si>
  <si>
    <t>D is nominal pipeline diameter in inches and L is pipeline length in miles.</t>
  </si>
  <si>
    <t>TA-PIPE-011</t>
  </si>
  <si>
    <t>(-9E-13D² + 4417.1D + 164241) × L</t>
  </si>
  <si>
    <t>right_of_way_cost_pipeline</t>
  </si>
  <si>
    <t>Assumptions and Parameters Pipe – Transmission Pipeline Right-of-Way</t>
  </si>
  <si>
    <t>The source does not apply the 1.1 hydrogen cost multiplier to right-of-way. The quadratic coefficient is effectively zero over the modelled diameter range.</t>
  </si>
  <si>
    <t>TA-PIPE-012</t>
  </si>
  <si>
    <t>TIC + 0.40 × TIC</t>
  </si>
  <si>
    <t>total_capital_investment_pipeline</t>
  </si>
  <si>
    <t>Transition Accelerator Pipe – Total Capital Investment</t>
  </si>
  <si>
    <t>TCI equals total installed cost plus indirect capital costs. Equivalent to 1.40 × TIC under the source assumption.</t>
  </si>
  <si>
    <t>TA-PIPE-013</t>
  </si>
  <si>
    <t>5.2 Pipeline Operating Costs</t>
  </si>
  <si>
    <t>Equation 15</t>
  </si>
  <si>
    <t>Direct labour + indirect labour + insurance + property tax + licensing and permits + O&amp;M</t>
  </si>
  <si>
    <t>USD/year or converted CAD/year</t>
  </si>
  <si>
    <t>total_non_energy_opex_pipeline</t>
  </si>
  <si>
    <t>Transition Accelerator Pipe – Total non-energy OPEX</t>
  </si>
  <si>
    <t>Source groups labour and annual TCI-based expenses into non-energy pipeline operating cost. Workbook separates labour as variable and the TCI-based items as fixed for TEMOA mapping.</t>
  </si>
  <si>
    <t>TA-PIPE-014</t>
  </si>
  <si>
    <t>Equation 16</t>
  </si>
  <si>
    <t>Annual labour hours × labour rate</t>
  </si>
  <si>
    <t>currency/year</t>
  </si>
  <si>
    <t>direct_labor_cost_pipeline</t>
  </si>
  <si>
    <t>Assumptions and Parameters Pipe – Direct labour costs</t>
  </si>
  <si>
    <t>Calculated annual direct labour expense. Currency year must remain consistent with the labour-rate input.</t>
  </si>
  <si>
    <t>TA-PIPE-015</t>
  </si>
  <si>
    <t>Equation 17</t>
  </si>
  <si>
    <t>8760 × (x / 100000)^0.25</t>
  </si>
  <si>
    <t>hours/year</t>
  </si>
  <si>
    <t>annual_labor_hours_pipeline</t>
  </si>
  <si>
    <t>Assumptions and Parameters Pipe – Annual labour hours</t>
  </si>
  <si>
    <t>TA-PIPE-016</t>
  </si>
  <si>
    <t>Equation 18</t>
  </si>
  <si>
    <t>fraction of direct labour cost</t>
  </si>
  <si>
    <t>indirect_labor_factor</t>
  </si>
  <si>
    <t>Assumptions and Parameters Pipe – Indirect labor factor</t>
  </si>
  <si>
    <t>Applied to annual direct labour cost to represent overhead, head-office, and personnel expenses.</t>
  </si>
  <si>
    <t>TA-PIPE-017</t>
  </si>
  <si>
    <t>Direct labour × 0.50</t>
  </si>
  <si>
    <t>indirect_labor_cost_pipeline</t>
  </si>
  <si>
    <t>Assumptions and Parameters Pipe – Indirect labour costs</t>
  </si>
  <si>
    <t>Calculated annual indirect labour cost.</t>
  </si>
  <si>
    <t>TA-PIPE-018</t>
  </si>
  <si>
    <t>18–19</t>
  </si>
  <si>
    <t>Equation 19</t>
  </si>
  <si>
    <t>fraction of TCI per year</t>
  </si>
  <si>
    <t>insurance_fraction_pipeline</t>
  </si>
  <si>
    <t>Assumptions and Parameters Pipe – Insurance</t>
  </si>
  <si>
    <t>Annual fixed cost equal to 1% of pipeline TCI.</t>
  </si>
  <si>
    <t>TA-PIPE-019</t>
  </si>
  <si>
    <t>property_tax_fraction_pipeline</t>
  </si>
  <si>
    <t>Assumptions and Parameters Pipe – Property tax</t>
  </si>
  <si>
    <t>TA-PIPE-020</t>
  </si>
  <si>
    <t>licensing_permitting_fraction_pipeline</t>
  </si>
  <si>
    <t>Assumptions and Parameters Pipe – Licensing and permitting</t>
  </si>
  <si>
    <t>Recurring annual licensing and permitting cost equal to 0.1% of TCI. Distinct from the 3% one-time capital permitting allowance.</t>
  </si>
  <si>
    <t>TA-PIPE-021</t>
  </si>
  <si>
    <t>operations_maintenance_fraction_pipeline</t>
  </si>
  <si>
    <t>Assumptions and Parameters Pipe – Operating, maintenance and repairs</t>
  </si>
  <si>
    <t>Recurring annual O&amp;M cost equal to 0.5% of pipeline TCI.</t>
  </si>
  <si>
    <t>TA-PIPE-022</t>
  </si>
  <si>
    <t>Equation 21</t>
  </si>
  <si>
    <t>Insurance + property tax + licensing and permits + O&amp;M</t>
  </si>
  <si>
    <t>total_fixed_opex_pipeline</t>
  </si>
  <si>
    <t>Transition Accelerator Pipe – Total Fixed OPEX</t>
  </si>
  <si>
    <t>Workbook maps these non-labour annual costs to CostFixed after normalizing by installed capacity and distance.</t>
  </si>
  <si>
    <t>TA-PIPE-023</t>
  </si>
  <si>
    <t>USD/CAD</t>
  </si>
  <si>
    <t>exchange_rate_usd_per_cad</t>
  </si>
  <si>
    <t>Assumptions and Parameters Pipe – Exchange rate</t>
  </si>
  <si>
    <t>2019 average exchange rate. Because the ratio is USD per CAD, convert USD to CAD by dividing by 0.75.</t>
  </si>
  <si>
    <t>TA-PIPE-024</t>
  </si>
  <si>
    <t>2019 CAD/hour</t>
  </si>
  <si>
    <t>pipeline_labor_rate</t>
  </si>
  <si>
    <t>Assumptions and Parameters Pipe – Labor Rate</t>
  </si>
  <si>
    <t>STATCAN-001</t>
  </si>
  <si>
    <t>External conversion source</t>
  </si>
  <si>
    <t>Gross domestic product implicit price indexes</t>
  </si>
  <si>
    <t>Statistics Canada data used in workbook</t>
  </si>
  <si>
    <t>Canada GDP implicit price index</t>
  </si>
  <si>
    <t>N/A</t>
  </si>
  <si>
    <t>Table 36-10-0130-01</t>
  </si>
  <si>
    <t>index</t>
  </si>
  <si>
    <t>gdp_deflator_2009</t>
  </si>
  <si>
    <t>Assumptions and Parameters Pipe – GDP Deflator 2009</t>
  </si>
  <si>
    <t>Used as the source-year price index for escalation of 2009 costs. Confirm that the same series and base-year convention are used for all years.</t>
  </si>
  <si>
    <t>https://www150.statcan.gc.ca/t1/tbl1/en/tv.action?pid=3610013001</t>
  </si>
  <si>
    <t>STATCAN-002</t>
  </si>
  <si>
    <t>gdp_deflator_2019</t>
  </si>
  <si>
    <t>Assumptions and Parameters Pipe – GDP Deflator 2019</t>
  </si>
  <si>
    <t>Used for conversion of cost inputs originally expressed in 2019 currency.</t>
  </si>
  <si>
    <t>STATCAN-003</t>
  </si>
  <si>
    <t>gdp_deflator_2020</t>
  </si>
  <si>
    <t>Assumptions and Parameters Pipe – GDP Deflator 2020</t>
  </si>
  <si>
    <t>Workbook target price-year index. Final normalized cost outputs are currently expressed in real 2020 CAD.</t>
  </si>
  <si>
    <t>NRCAN-001</t>
  </si>
  <si>
    <t>External economic source</t>
  </si>
  <si>
    <t>Energy data and analysis – Canadian electricity prices</t>
  </si>
  <si>
    <t>Alberta electricity price</t>
  </si>
  <si>
    <t>Provincial electricity-price data</t>
  </si>
  <si>
    <t>2019 CAD/kWh</t>
  </si>
  <si>
    <t>electricity_price_alberta</t>
  </si>
  <si>
    <t>Assumptions and Parameters Pipe – Electricity Cost</t>
  </si>
  <si>
    <t>Used to reproduce monetary compressor electricity OPEX. The preferred CANOE/TEMOA mapping retains electricity as a physical input coefficient rather than embedding this price permanently in CostVariable.</t>
  </si>
  <si>
    <t>https://natural-resources.canada.ca/science-data/data-analysis/energy-data-analysis</t>
  </si>
  <si>
    <t>Source Extraction Log: Transmission Pipeline Component</t>
  </si>
  <si>
    <t>W</t>
  </si>
  <si>
    <t>WEI-PIPE-001</t>
  </si>
  <si>
    <t>Secondary implementation source</t>
  </si>
  <si>
    <t>Evaluating Environmental and Economic Trade-offs in Centralized and Decentralized Hydrogen Production — A Case Study on Canadian Steel</t>
  </si>
  <si>
    <t>2.5.1 Pipeline LCA</t>
  </si>
  <si>
    <t>55–56</t>
  </si>
  <si>
    <t>Equation 2.10</t>
  </si>
  <si>
    <t>(P × D) / (2 × S × F × L × J × T)</t>
  </si>
  <si>
    <t>t_required</t>
  </si>
  <si>
    <t>WEI-PIPE-002</t>
  </si>
  <si>
    <t>MPa</t>
  </si>
  <si>
    <t>S_yield</t>
  </si>
  <si>
    <t>Specified minimum yield strength of the selected pipeline steel. The thesis identifies this as an assumption adapted from prior CO2 pipeline literature.</t>
  </si>
  <si>
    <t>WEI-PIPE-003</t>
  </si>
  <si>
    <t>F_design</t>
  </si>
  <si>
    <t>Design factor used in the wall-thickness calculation. The thesis notes that this factor varies with location and pipeline class.</t>
  </si>
  <si>
    <t>WEI-PIPE-004</t>
  </si>
  <si>
    <t>L_location</t>
  </si>
  <si>
    <t>Locational factor. The thesis holds this at 1.0 and addresses geographic differences separately through routing or cost penalties. Do not confuse this symbol L with physical pipeline length.</t>
  </si>
  <si>
    <t>WEI-PIPE-005</t>
  </si>
  <si>
    <t>J_joint</t>
  </si>
  <si>
    <t>Joint factor based on seamless pipe.</t>
  </si>
  <si>
    <t>WEI-PIPE-006</t>
  </si>
  <si>
    <t>T_temperature_factor</t>
  </si>
  <si>
    <t>Temperature derating factor. Set to 1.0 because the pipeline is assumed not to operate above the applicable temperature threshold. This is not a temperature in kelvin despite the current workbook unit label.</t>
  </si>
  <si>
    <t>TA-PIPE-025</t>
  </si>
  <si>
    <t>4 Gas Pipeline Hydraulics</t>
  </si>
  <si>
    <t>10–11</t>
  </si>
  <si>
    <t>Equation 1</t>
  </si>
  <si>
    <t>1.1494 × 10^-3 × (Tb/Pb) × [((P1² - exp(s)P2²)/(G × Tf × Le × Z × f))^0.5] × D^2.5</t>
  </si>
  <si>
    <t>Sm3/day</t>
  </si>
  <si>
    <t>General Flow Equation used to calculate standard volumetric hydrogen flow. D is inside diameter in mm; P1 and P2 must be absolute pressures in kPa.</t>
  </si>
  <si>
    <t>TA-PIPE-026</t>
  </si>
  <si>
    <t>D_inner</t>
  </si>
  <si>
    <t>Inside pipeline diameter used by the General Flow Equation. This is not automatically equal to nominal pipe size or outside diameter. The current workbook assumes equality for the cost cases and should flag this approximation.</t>
  </si>
  <si>
    <t>TA-PIPE-027</t>
  </si>
  <si>
    <t>Equation 1 variable definition</t>
  </si>
  <si>
    <t>T_b</t>
  </si>
  <si>
    <t>Base temperature associated with the standard volumetric flow convention. Workbook rounds the value to 288.7 K.</t>
  </si>
  <si>
    <t>TA-PIPE-028</t>
  </si>
  <si>
    <t>kPa absolute</t>
  </si>
  <si>
    <t>P_b</t>
  </si>
  <si>
    <t>Base pressure associated with the standard volumetric flow convention. The workbook currently uses 101.325 kPa; this small discrepancy should be documented rather than silently treated as identical.</t>
  </si>
  <si>
    <t>TA-PIPE-029</t>
  </si>
  <si>
    <t>6.1 Case Study: Input Parameters</t>
  </si>
  <si>
    <t>bar absolute</t>
  </si>
  <si>
    <t>P_1</t>
  </si>
  <si>
    <t>Inlet pipeline pressure. Workbook converts this to 7000 kPa. The source explicitly defines pipeline pressures in the flow equation as absolute rather than gauge pressure.</t>
  </si>
  <si>
    <t>MODEL-PIPE-001</t>
  </si>
  <si>
    <t>Modeller assumption</t>
  </si>
  <si>
    <t>Workbook methodology</t>
  </si>
  <si>
    <t>Current workbook</t>
  </si>
  <si>
    <t>Reference 250 km pipeline segment</t>
  </si>
  <si>
    <t>Selected outlet-pressure assumption</t>
  </si>
  <si>
    <t>P_2</t>
  </si>
  <si>
    <t>Outlet pressure selected to match the compressor suction pressure and the 28-to-70 bar recompression cycle used in the thesis implementation. Workbook converts this to 2800 kPa. This is not the Table 6.1 outlet-velocity assumption from the Transition Accelerator case study.</t>
  </si>
  <si>
    <t>MODEL-PIPE-002</t>
  </si>
  <si>
    <t>Reference elevation profile</t>
  </si>
  <si>
    <t>H_1</t>
  </si>
  <si>
    <t>Arbitrary near-flat reference elevation used to avoid a zero elevation-adjustment case. This is not a source-derived geographic elevation. Replace with corridor-specific elevations or set both elevations equal when appropriate.</t>
  </si>
  <si>
    <t>MODEL-PIPE-003</t>
  </si>
  <si>
    <t>H_2</t>
  </si>
  <si>
    <t>Arbitrary near-flat reference elevation paired with H1. The resulting elevation effect is negligible but nonzero.</t>
  </si>
  <si>
    <t>WEI-PIPE-007</t>
  </si>
  <si>
    <t>54–55</t>
  </si>
  <si>
    <t>Equation 2.7 assumptions</t>
  </si>
  <si>
    <t>T_f</t>
  </si>
  <si>
    <t>Average flowing temperature assumed equal to ambient temperature for a 250 km segment. The Transition Accelerator Table 6.1 case study instead reports 288.15 K. The workbook follows the thesis implementation.</t>
  </si>
  <si>
    <t>WEI-PIPE-008</t>
  </si>
  <si>
    <t>Equation 2.6 / compressibility assumption</t>
  </si>
  <si>
    <t>Average hydrogen compressibility factor selected for the assumed average pressure and temperature. Z should be recalculated if pressure or temperature assumptions change.</t>
  </si>
  <si>
    <t>TA-PIPE-030</t>
  </si>
  <si>
    <t>4 Gas Pipeline Hydraulics / 6.1 Case Study</t>
  </si>
  <si>
    <t>11 and 21</t>
  </si>
  <si>
    <t>Equation 1 variable definition / Table 6.1</t>
  </si>
  <si>
    <t>Hydrogen specific gravity relative to air. Used in the elevation, flow, and erosional-velocity equations.</t>
  </si>
  <si>
    <t>WEI-PIPE-009</t>
  </si>
  <si>
    <t>Pipeline-segment assumption</t>
  </si>
  <si>
    <t>L_pipe</t>
  </si>
  <si>
    <t>Physical length of one pipeline and recompression segment. The thesis models a compressor at the beginning of each 250 km segment. The Transition Accelerator case study uses 500 km pipe sections within a 1500 km system.</t>
  </si>
  <si>
    <t>TA-PIPE-031</t>
  </si>
  <si>
    <t>4.1 Key Parameters for Calculating Hydrogen Flow</t>
  </si>
  <si>
    <t>Equations 5–6 / adopted case-study value</t>
  </si>
  <si>
    <t>f_Darcy</t>
  </si>
  <si>
    <t>Darcy friction factor adopted as a fixed value. The source explains that friction factor depends on Reynolds number, roughness, and diameter and normally requires iterative solution using the Colebrook–White equation. It should be recalculated when the hydraulic design changes.</t>
  </si>
  <si>
    <t>TA-PIPE-032</t>
  </si>
  <si>
    <t>Equation 8 variable definition</t>
  </si>
  <si>
    <t>kPa·m3/(kmol·K)</t>
  </si>
  <si>
    <t>TA-PIPE-033</t>
  </si>
  <si>
    <t>Equation 9</t>
  </si>
  <si>
    <t>kg H2/Sm3</t>
  </si>
  <si>
    <t>rho_H2_b</t>
  </si>
  <si>
    <t>Hydrogen density or mass-conversion factor at the report’s standard conditions. Multiplied by Q to calculate daily hydrogen mass capacity.</t>
  </si>
  <si>
    <t>MODEL-PIPE-004</t>
  </si>
  <si>
    <t>Modeller convention</t>
  </si>
  <si>
    <t>Annual capacity conversion</t>
  </si>
  <si>
    <t>Calendar-year conversion</t>
  </si>
  <si>
    <t>n_days</t>
  </si>
  <si>
    <t>Converts daily design capacity to annual capacity. This assumes continuous operation and is a unit conversion, not an availability or capacity-factor assumption. Availability should be represented separately if required.</t>
  </si>
  <si>
    <t>TA-PIPE-034</t>
  </si>
  <si>
    <t>Equation 2</t>
  </si>
  <si>
    <t>0.0684 × G × ((H2 - H1)/(Tf × Z))</t>
  </si>
  <si>
    <t>Elevation adjustment parameter used in the General Flow Equation. The workbook’s near-flat elevation assumptions make this term very small.</t>
  </si>
  <si>
    <t>TA-PIPE-035</t>
  </si>
  <si>
    <t>Equation 3</t>
  </si>
  <si>
    <t>L × ((exp(s) - 1)/s)</t>
  </si>
  <si>
    <t>L_e</t>
  </si>
  <si>
    <t>Equivalent pipeline length after accounting for elevation. For s approaching zero, the mathematical limit is Le = L; spreadsheet implementations should guard against direct division by zero.</t>
  </si>
  <si>
    <t>WEI-PIPE-010</t>
  </si>
  <si>
    <t>Equation 2.8</t>
  </si>
  <si>
    <t>(2/3) × ((P1^3 - P2^3)/(P1^2 - P2^2))</t>
  </si>
  <si>
    <t>P_avg</t>
  </si>
  <si>
    <t>Average pipeline pressure used to select the compressibility factor and in the wall-thickness implementation. The workbook formula follows the thesis equation.</t>
  </si>
  <si>
    <t>TA-PIPE-036</t>
  </si>
  <si>
    <t>Equation 8</t>
  </si>
  <si>
    <t>100 × sqrt(0.05131 × Z × R × T/(G × P))</t>
  </si>
  <si>
    <t>V_max</t>
  </si>
  <si>
    <t>Approximate erosional velocity representing an upper bound on allowable gas velocity. The workbook evaluates the expression using inlet pressure, which is conservative relative to using a lower pressure but should be stated explicitly.</t>
  </si>
  <si>
    <t>TA-PIPE-037</t>
  </si>
  <si>
    <t>Calculated standard volumetric flow for each selected inner-diameter case. This is an output rather than an independently sourced default parameter.</t>
  </si>
  <si>
    <t>TA-PIPE-038</t>
  </si>
  <si>
    <t>Q × 0.0834</t>
  </si>
  <si>
    <t>C_day</t>
  </si>
  <si>
    <t>Daily hydrogen mass capacity corresponding to the calculated standard volumetric flow.</t>
  </si>
  <si>
    <t>MODEL-PIPE-005</t>
  </si>
  <si>
    <t>Derived workbook output</t>
  </si>
  <si>
    <t>Cday × 365</t>
  </si>
  <si>
    <t>kg H2/year</t>
  </si>
  <si>
    <t>C_year_kg</t>
  </si>
  <si>
    <t>Annual hydrogen capacity before conversion from kilograms to tonnes. Assumes full-year operation.</t>
  </si>
  <si>
    <t>MODEL-PIPE-006</t>
  </si>
  <si>
    <t>(Cday × 365) / 1000</t>
  </si>
  <si>
    <t>t H2/year</t>
  </si>
  <si>
    <t>C_year_t</t>
  </si>
  <si>
    <t>Annual hydrogen capacity in metric tonnes per year. This is the capacity basis subsequently used for pipeline cost normalization.</t>
  </si>
  <si>
    <t>Source Page</t>
  </si>
  <si>
    <t>Assumptions and Parameters Pipe</t>
  </si>
  <si>
    <t>D is nominal pipeline diameter in inches and L is pipeline length in miles..</t>
  </si>
  <si>
    <t>D is nominal pipeline diameter in inches and L is pipeline length in miles. Until pipeline thickness is considered, nominal size equates to inner diameter</t>
  </si>
  <si>
    <t>x is average pipeline use in kg H2/day with a total 8760 hrs used in the model. 8230 hrs should be considered to represent a proper 40-hour work week annually</t>
  </si>
  <si>
    <t>The transition reports this as 2019 $CAD but derived from a 2019 US HDSAM model. Should consider updating this with a Canadian representative value</t>
  </si>
  <si>
    <t>Outer Pipeline Diameter (mm)</t>
  </si>
  <si>
    <t>Inner pipeline diameter (mm)</t>
  </si>
  <si>
    <t>Required pipeline thickness (mm)</t>
  </si>
  <si>
    <t>Minimum required pipeline wall thickness. In the thesis, P and S are in MPa and D is outside diameter in mm. The current workbook does not consider outer diameter into costs. Must validate how this is factored into costs.</t>
  </si>
  <si>
    <t>kPa*m^3/k*mol</t>
  </si>
  <si>
    <t>Universal gas constant in the unit basis used by the erosional-velocity equation.</t>
  </si>
  <si>
    <t>Workbook Section</t>
  </si>
  <si>
    <t>Source Extraction Log: H2 Compressor Stations</t>
  </si>
  <si>
    <t>TA-COMP-001</t>
  </si>
  <si>
    <t>The Techno-Economics of Hydrogen Compression</t>
  </si>
  <si>
    <t>2021 / Version 2.0</t>
  </si>
  <si>
    <t>3.1 Power Calculation for Single-Stage Compressors</t>
  </si>
  <si>
    <t>Power-equation variable definition</t>
  </si>
  <si>
    <t>M_H2</t>
  </si>
  <si>
    <t>Transition Accelerator Compress</t>
  </si>
  <si>
    <t>Hydrogen molar mass used to convert mass flow into molar flow. The workbook rounds the physical molar mass to 0.002 kg/mol; a more precise value could be retained if consistency is maintained throughout.</t>
  </si>
  <si>
    <t>https://transitionaccelerator.ca/wp-content/uploads/2023/06/The-Techno-Economics-of-Hydrogen-Compression.pdf</t>
  </si>
  <si>
    <t>TA-COMP-002</t>
  </si>
  <si>
    <t>Ratio of hydrogen specific heat at constant pressure to specific heat at constant volume. The workbook uses 1.405, which is a minor refinement from the source-rounded value of 1.41.</t>
  </si>
  <si>
    <t>WEI-COMP-001</t>
  </si>
  <si>
    <t>2.5.2 Compressor LCA</t>
  </si>
  <si>
    <t>58–60</t>
  </si>
  <si>
    <t>Equation 2.11 assumptions</t>
  </si>
  <si>
    <t>Z_comp</t>
  </si>
  <si>
    <t>Average hydrogen compressibility factor used by the compressor calculation. The workbook applies the same value used in the pipeline model. It should correspond to the assumed pressure and temperature range.</t>
  </si>
  <si>
    <t>TA-COMP-003</t>
  </si>
  <si>
    <t>3.2 Power Calculation for Multistage Compressors</t>
  </si>
  <si>
    <t>13–15</t>
  </si>
  <si>
    <t>Multistage compressor assumptions</t>
  </si>
  <si>
    <t>maximum pressure ratio per stage</t>
  </si>
  <si>
    <t>x_stage_max</t>
  </si>
  <si>
    <t>Maximum target pressure ratio per compressor stage for the reference pipeline compressor. The report notes that the case-study reciprocating compressor uses a per-stage ratio of approximately 2.1.</t>
  </si>
  <si>
    <t>TA-COMP-004</t>
  </si>
  <si>
    <t>J/(mol·K)</t>
  </si>
  <si>
    <t>R_comp</t>
  </si>
  <si>
    <t>Universal gas constant in the compressor power-equation unit basis. This is the same physical constant used in the pipeline sheet but expressed in J/(mol·K).</t>
  </si>
  <si>
    <t>WEI-COMP-002</t>
  </si>
  <si>
    <t>Compressor inlet-temperature assumption</t>
  </si>
  <si>
    <t>T_suction</t>
  </si>
  <si>
    <t>Suction temperature assumed approximately equal to ambient temperature. The workbook uses 289 K, while the pipeline flowing-temperature assumption is 288.7 K.</t>
  </si>
  <si>
    <t>WEI-COMP-003</t>
  </si>
  <si>
    <t>Reference pressure cycle</t>
  </si>
  <si>
    <t>P_suction</t>
  </si>
  <si>
    <t>Compressor suction pressure corresponding to the pipeline outlet pressure. The Transition Accelerator pipeline case study uses 20 bar for some compressor calculations, while the workbook follows the thesis 28-to-70 bar cycle.</t>
  </si>
  <si>
    <t>WEI-COMP-004</t>
  </si>
  <si>
    <t>P_discharge</t>
  </si>
  <si>
    <t>Compressor discharge pressure corresponding to the pipeline inlet pressure. Used with 28 bar suction pressure to restore pipeline pressure after each 250 km segment.</t>
  </si>
  <si>
    <t>TA-COMP-005</t>
  </si>
  <si>
    <t>4.1 Assumptions Used</t>
  </si>
  <si>
    <t>Prime-mover assumption</t>
  </si>
  <si>
    <t>eta_motor</t>
  </si>
  <si>
    <t>Electric-motor efficiency. Rated electrical motor power is calculated by dividing compressor shaft power by motor efficiency.</t>
  </si>
  <si>
    <t>TA-COMP-006</t>
  </si>
  <si>
    <t>Pipeline-compressor assumption</t>
  </si>
  <si>
    <t>eta_isen_reference</t>
  </si>
  <si>
    <t>Reference isentropic efficiency used for large hydrogen pipeline compressors in the compression brief. The current workbook instead applies a capacity-dependent efficiency derived from the thesis implementation.</t>
  </si>
  <si>
    <t>WEI-COMP-005</t>
  </si>
  <si>
    <t>3.3 Hydrogen Distribution LCA</t>
  </si>
  <si>
    <t>91–92</t>
  </si>
  <si>
    <t>Figure 3.10 / efficiency scaling method</t>
  </si>
  <si>
    <t>eta_isen_max</t>
  </si>
  <si>
    <t>Maximum isentropic-efficiency cap. The thesis allows efficiency to increase with compressor scale until it reaches 0.88, after which it remains constant. This differs from the Transition Accelerator fixed 0.80 assumption.</t>
  </si>
  <si>
    <t>TA-COMP-007</t>
  </si>
  <si>
    <t>Maximum pipeline-compressor capacity</t>
  </si>
  <si>
    <t>kW per compressor</t>
  </si>
  <si>
    <t>P_unit_max</t>
  </si>
  <si>
    <t>Maximum rated capacity of one large pipeline compressor assumed by the report. Above this size, multiple compressor units should be represented. The current workbook calculates stations substantially above 16 MW without explicitly splitting them into parallel units, which should be reviewed.</t>
  </si>
  <si>
    <t>TA-COMP-008</t>
  </si>
  <si>
    <t>Multistage assumptions</t>
  </si>
  <si>
    <t>Equal work per stage</t>
  </si>
  <si>
    <t>multistage_equal_work</t>
  </si>
  <si>
    <t>Assumes that compressor work is equal at each stage. This is a methodological assumption rather than a numeric input.</t>
  </si>
  <si>
    <t>TA-COMP-009</t>
  </si>
  <si>
    <t>Equal pressure ratio per stage</t>
  </si>
  <si>
    <t>multistage_equal_ratio</t>
  </si>
  <si>
    <t>Assumes the same pressure ratio across each compressor stage.</t>
  </si>
  <si>
    <t>TA-COMP-010</t>
  </si>
  <si>
    <t>Intercool to original suction temperature</t>
  </si>
  <si>
    <t>multistage_intercooling</t>
  </si>
  <si>
    <t>Assumes that hydrogen is cooled back to the original first-stage suction temperature after each compression stage.</t>
  </si>
  <si>
    <t>TA-COMP-011</t>
  </si>
  <si>
    <t>No intercooler pressure drop or heat loss</t>
  </si>
  <si>
    <t>ideal_intercooler</t>
  </si>
  <si>
    <t>Assumes no pressure drop and no additional heat loss in the intercoolers. This makes the thermodynamic calculation idealized.</t>
  </si>
  <si>
    <t>MODEL-COMP-001</t>
  </si>
  <si>
    <t>Derived workbook parameter</t>
  </si>
  <si>
    <t>Compressor staging</t>
  </si>
  <si>
    <t>Overall compression ratio</t>
  </si>
  <si>
    <t>P_discharge / P_suction</t>
  </si>
  <si>
    <t>r_p</t>
  </si>
  <si>
    <t>Overall compressor pressure ratio. With 70 bar discharge and 28 bar suction, the workbook obtains 2.5.</t>
  </si>
  <si>
    <t>TA-COMP-012</t>
  </si>
  <si>
    <t>Stage-count equation</t>
  </si>
  <si>
    <t>ln(r_p) / ln(x_stage_max)</t>
  </si>
  <si>
    <t>N_raw</t>
  </si>
  <si>
    <t>Unrounded number of compressor stages required so the per-stage pressure ratio does not exceed the selected maximum.</t>
  </si>
  <si>
    <t>TA-COMP-013</t>
  </si>
  <si>
    <t>CEILING(N_raw)</t>
  </si>
  <si>
    <t>N_stages</t>
  </si>
  <si>
    <t>Compressor stage count rounded upward to the nearest integer. The workbook obtains two stages for the 28-to-70 bar reference cycle.</t>
  </si>
  <si>
    <t>MODEL-COMP-002</t>
  </si>
  <si>
    <t>Mass-to-molar-flow conversion</t>
  </si>
  <si>
    <t>(C_day / M_H2) / 86400</t>
  </si>
  <si>
    <t>mol H2/s</t>
  </si>
  <si>
    <t>q_M</t>
  </si>
  <si>
    <t>Converts daily hydrogen mass capacity into molar flow. The 86,400 denominator converts days to seconds.</t>
  </si>
  <si>
    <t>TA-COMP-014</t>
  </si>
  <si>
    <t>Multistage isentropic power equation</t>
  </si>
  <si>
    <t>N × [k/(k−1)] × [Z/eta_isen] × T_suction × q_M × R × [(P_discharge/P_suction)^((k−1)/(N×k)) − 1]</t>
  </si>
  <si>
    <t>P_comp</t>
  </si>
  <si>
    <t>Isentropic multistage compressor shaft-power equation with ideal intercooling. Pressure values may be used as a ratio in consistent units.</t>
  </si>
  <si>
    <t>TA-COMP-015</t>
  </si>
  <si>
    <t>Motor-power conversion</t>
  </si>
  <si>
    <t>P_comp / eta_motor</t>
  </si>
  <si>
    <t>kW</t>
  </si>
  <si>
    <t>P_rated</t>
  </si>
  <si>
    <t>Rated electrical motor power after accounting for the 95% motor efficiency. Confirm that the compressor power is converted from W to kW before applying the cost correlation.</t>
  </si>
  <si>
    <t>MODEL-COMP-003</t>
  </si>
  <si>
    <t>Compressor electricity intensity</t>
  </si>
  <si>
    <t>P_rated × 24 / C_day</t>
  </si>
  <si>
    <t>kWh/kg H2</t>
  </si>
  <si>
    <t>electricity_intensity</t>
  </si>
  <si>
    <t>Electrical energy consumed per kilogram of hydrogen at full daily design throughput. Equivalent numerically to MWh per tonne H2.</t>
  </si>
  <si>
    <t>TA-COMP-016</t>
  </si>
  <si>
    <t>4.2 Determining the Capital Cost of a Hydrogen Compressor</t>
  </si>
  <si>
    <t>Table 4.1</t>
  </si>
  <si>
    <t>2019 CAD coefficient</t>
  </si>
  <si>
    <t>UC_coefficient_pipeline</t>
  </si>
  <si>
    <t>Cost coefficient for a high-flow, moderate-compression-ratio pipeline compressor. The coefficient already incorporates escalation to 2019 and conversion to Canadian dollars.</t>
  </si>
  <si>
    <t>TA-COMP-017</t>
  </si>
  <si>
    <t>SF_pipeline</t>
  </si>
  <si>
    <t>Economies-of-scale exponent for the pipeline-compressor uninstalled-cost correlation.</t>
  </si>
  <si>
    <t>TA-COMP-018</t>
  </si>
  <si>
    <t>IF_pipeline</t>
  </si>
  <si>
    <t>Installation factor used to convert compressor uninstalled cost into total installed cost.</t>
  </si>
  <si>
    <t>TA-COMP-019</t>
  </si>
  <si>
    <t>3083.3 × P_rated^0.8335</t>
  </si>
  <si>
    <t>2019 CAD/compressor station</t>
  </si>
  <si>
    <t>UC_pipeline</t>
  </si>
  <si>
    <t>Uninstalled compressor cost. P_rated is rated motor power in kW. The workbook should not apply the separate 1.179 CEPCI factor or 0.75 exchange rate again because these are already embedded in the published 2019 CAD coefficient.</t>
  </si>
  <si>
    <t>TA-COMP-020</t>
  </si>
  <si>
    <t>UC_pipeline × IF_pipeline</t>
  </si>
  <si>
    <t>TIC_comp</t>
  </si>
  <si>
    <t>Total installed compressor cost, including equipment purchase and installation labour and parts.</t>
  </si>
  <si>
    <t>WEI-COMP-006</t>
  </si>
  <si>
    <t>2.5.4.2 Compressor Costing</t>
  </si>
  <si>
    <t>62–63</t>
  </si>
  <si>
    <t>Equation 2.19</t>
  </si>
  <si>
    <t>3083.3 × P_rated^0.8335 × 2</t>
  </si>
  <si>
    <t>Thesis implementation of the Transition Accelerator pipeline-compressor cost correlation. The thesis text describes the output as 2019 USD in one location, but the Transition Accelerator Table 4.1 explicitly presents the correlation in 2019 CAD; use the primary source currency definition.</t>
  </si>
  <si>
    <t>TA-COMP-021</t>
  </si>
  <si>
    <t>CEPCI escalation embedded in Table 4.1</t>
  </si>
  <si>
    <t>619.2 / 525.4 = 1.179</t>
  </si>
  <si>
    <t>CEPCI_2007_to_2019</t>
  </si>
  <si>
    <t>Assumptions and Parameter Comp</t>
  </si>
  <si>
    <t>Escalation factor used by the report when deriving the published 2019 CAD cost coefficient from the underlying 2007 HDSAM correlation. This factor is provenance for the coefficient and should not be applied again to 3083.3.</t>
  </si>
  <si>
    <t>TA-COMP-022</t>
  </si>
  <si>
    <t>Table 4.1 conversion note</t>
  </si>
  <si>
    <t>exchange_rate_2019</t>
  </si>
  <si>
    <t>2019 average exchange rate used when the report converted the underlying HDSAM compressor correlation into 2019 CAD. Already embedded in the 3083.3 coefficient.</t>
  </si>
  <si>
    <t>WEI-COMP-007</t>
  </si>
  <si>
    <t>Compressor financial assumption</t>
  </si>
  <si>
    <t>compressor_lifetime</t>
  </si>
  <si>
    <t>Physical or financial compressor lifetime used in the thesis cost model. For TEMOA mapping, use as technology lifetime without embedding annualization in CostInvest.</t>
  </si>
  <si>
    <t>MODEL-COMP-004</t>
  </si>
  <si>
    <t>Compressor utilization</t>
  </si>
  <si>
    <t>Availability assumption</t>
  </si>
  <si>
    <t>fraction</t>
  </si>
  <si>
    <t>availability_factor_comp</t>
  </si>
  <si>
    <t>Assumes full-year compressor operation at design throughput. Suitable for reproducing normalized source costs, but potentially too restrictive for endogenous CANOE operation.</t>
  </si>
  <si>
    <t>MODEL-COMP-005</t>
  </si>
  <si>
    <t>Calendar-year energy conversion</t>
  </si>
  <si>
    <t>annual_operating_hours</t>
  </si>
  <si>
    <t>Used to convert rated compressor power into annual electricity consumption at 100% availability. For TEMOA, electricity should preferably be tied to activity through an efficiency or input coefficient rather than fixed annual operation.</t>
  </si>
  <si>
    <t>Economic and temporal</t>
  </si>
  <si>
    <t>Direct CAPEX assumptions</t>
  </si>
  <si>
    <t>Indirect CAPEX assumptions</t>
  </si>
  <si>
    <t>Labour OPEX assumptions</t>
  </si>
  <si>
    <t>This is a technological physcial lifetime</t>
  </si>
  <si>
    <t>Convert USD to CAD by dividing by the USD/CAD exchange rate; 2019 average</t>
  </si>
  <si>
    <t>price index</t>
  </si>
  <si>
    <t>2017 base year covention</t>
  </si>
  <si>
    <t>Source adjustment applied to selected HDSAM transmission-pipeline cost correlations to represent anticipated additional hydrogen-pipeline costs. Retained for source reproduction but flagged for sensitivity analysis</t>
  </si>
  <si>
    <t>Unallocated residual</t>
  </si>
  <si>
    <t xml:space="preserve">Addition 12% associated with the 40% used by the accelerator model. </t>
  </si>
  <si>
    <t>Derived from 2019 US HDSAM model</t>
  </si>
  <si>
    <t>Capacity-dependent Labour OPEX, h2_pipe</t>
  </si>
  <si>
    <t>fraction of TCI / yr</t>
  </si>
  <si>
    <t>The 1.1 hydrogen pipeline cost multiplier is a weakly supported source assumption and may overlap conceptually with the cost consequences of increased hydrogen-compatible wall thickness. Retain for source reproduction, but test its inclusion in sensitivity analysis. This increased cost burden is effectively addressed via the higher costs and such that are modelled via the thickened pipeline wall needs (thicker than needed for CO2 or nat gas, for e.g.,) though this might not be updated in the version of code shared to you yet. Ill share a final copy once I'm done (since some additional fixes were done as I amended my thesis to its submission state)</t>
  </si>
  <si>
    <t>This worksheet represents a reference gaseous hydrogen transmission pipeline segment. The current reference length is 250 km. Hydraulic and cost parameters must be revised if the segment length, pressure cycle, pipeline material, or geographic assumptions change. Cost outputs are normalized per kilometre only after the complete segment cost has been calculated</t>
  </si>
  <si>
    <t>Design Pressure</t>
  </si>
  <si>
    <t>Specified minimum yield strength</t>
  </si>
  <si>
    <t>Temperature factor</t>
  </si>
  <si>
    <t>Pipeline segment length</t>
  </si>
  <si>
    <t>Design_ID</t>
  </si>
  <si>
    <t>Inner pipeline Diameter (inch, inner diameter)</t>
  </si>
  <si>
    <t>H2_PIPE_8</t>
  </si>
  <si>
    <t>H2_PIPE_10</t>
  </si>
  <si>
    <t>H2_PIPE_12</t>
  </si>
  <si>
    <t>H2_PIPE_14</t>
  </si>
  <si>
    <t>H2_PIPE_16</t>
  </si>
  <si>
    <t>H2_PIPE_18</t>
  </si>
  <si>
    <t>H2_PIPE_20</t>
  </si>
  <si>
    <t>H2_PIPE_22</t>
  </si>
  <si>
    <t>H2_PIPE_24</t>
  </si>
  <si>
    <t>H2_PIPE_26</t>
  </si>
  <si>
    <t>H2_PIPE_28</t>
  </si>
  <si>
    <t>H2_PIPE_30</t>
  </si>
  <si>
    <t>H2_PIPE_32</t>
  </si>
  <si>
    <t>Total Installed Cost ($ 2009 US / km)</t>
  </si>
  <si>
    <t>Total Capital Investment ($ 2009 US / km)</t>
  </si>
  <si>
    <t>Total Capital Investment ($ 2020 CAD / km)</t>
  </si>
  <si>
    <t>Outer pipeline diameter (mm)</t>
  </si>
  <si>
    <t>Diameter treatment used in this workbook</t>
  </si>
  <si>
    <t>The General Flow Equation uses pipeline inner diameter to determine hydrogen flow capacity. Required wall thickness is calculated from the selected pressure and material-design assumptions, and outside diameter is then calculated as inner diameter plus twice the required wall thickness. The resulting outside diameter is used as the diameter input to the HDSAM-derived pipeline CAPEX correlations. This adaptation introduces the effect of wall thickness into the cost-capacity relationship. It differs from a strict reproduction of the source correlations, which are reported using pipeline diameter without fully distinguishing nominal, inner, and outside diameter. The assumption is therefore documented and should be tested in sensitivity analysis.</t>
  </si>
  <si>
    <t>General Overview</t>
  </si>
  <si>
    <t>Gas property</t>
  </si>
  <si>
    <t>Hydrogen molar mass</t>
  </si>
  <si>
    <t>Heat-capacity ratio</t>
  </si>
  <si>
    <t>Thermodynamic</t>
  </si>
  <si>
    <t>Suction temperature</t>
  </si>
  <si>
    <t>Suction pressure</t>
  </si>
  <si>
    <t>Discharge pressure</t>
  </si>
  <si>
    <t>Universal gas constant</t>
  </si>
  <si>
    <t>Efficiency</t>
  </si>
  <si>
    <t>https://transitionaccelerator.ca/wp-content/uploads/2023/04/TA-Technical-Brief-1.1_TEEA-Hydrogen-Compression_PUBLISHED.pdf</t>
  </si>
  <si>
    <t>Thermodynamic Compressor Assumptions</t>
  </si>
  <si>
    <t>Staging</t>
  </si>
  <si>
    <t>Maximum pressure ratio per stage</t>
  </si>
  <si>
    <t xml:space="preserve">Total Capital Investments, compressor ($ 2020 CAD / km) </t>
  </si>
  <si>
    <t>Total Variable OPEX ($ 2020 CAD/ km)</t>
  </si>
  <si>
    <t>Total Fixed OPEX ($ 2020 CAD per year / km* per year capacity)</t>
  </si>
  <si>
    <t>ratio</t>
  </si>
  <si>
    <t>Reference isentropic efficiency</t>
  </si>
  <si>
    <t>Maximum isentropic efficiency</t>
  </si>
  <si>
    <t>Maximum rated power per compressor unit</t>
  </si>
  <si>
    <t>units</t>
  </si>
  <si>
    <t>Compressor Cost Assumptions</t>
  </si>
  <si>
    <t>Scale exponent</t>
  </si>
  <si>
    <t>Compressor unit lifetime</t>
  </si>
  <si>
    <t>Published source currency year</t>
  </si>
  <si>
    <t>Target workbook currency year</t>
  </si>
  <si>
    <t>year</t>
  </si>
  <si>
    <t>Fixed OPEX</t>
  </si>
  <si>
    <t>Compressor maintenance</t>
  </si>
  <si>
    <t>Operator labour</t>
  </si>
  <si>
    <t>Other non-energy OPEX</t>
  </si>
  <si>
    <t>Uninstalled cost coefficient</t>
  </si>
  <si>
    <t>Applied as UC = 3083.3 × P_unit^0.8335, where rated motor power is in kW. Published coefficient already incorporates source escalation and USD-to-CAD conversion.</t>
  </si>
  <si>
    <t>Economies-of-scale exponent for the large pipeline-compressor correlation.</t>
  </si>
  <si>
    <t>Converts uninstalled compressor cost to total installed cost: TIC = UC × IF.</t>
  </si>
  <si>
    <t>Use as physical technology lifetime for TEMOA. Do not embed a CRF in CostInvest.</t>
  </si>
  <si>
    <t>Published compressor cost correlation is reported in 2019 CAD.</t>
  </si>
  <si>
    <t>All compressor CAPEX and OPEX outputs are converted to real 2020 CAD before normalization.</t>
  </si>
  <si>
    <t>Site preparation fraction</t>
  </si>
  <si>
    <t>Wei thesis, Section 2.5.4.2</t>
  </si>
  <si>
    <t>Added to compressor TIC when reproducing the Wei implementation.</t>
  </si>
  <si>
    <t>Engineering and design fraction</t>
  </si>
  <si>
    <t>Project contingency fraction</t>
  </si>
  <si>
    <t>Permitting fraction</t>
  </si>
  <si>
    <t>One-time capital permitting cost. Distinct from annual licensing and permitting OPEX.</t>
  </si>
  <si>
    <t>Total indirect CAPEX fraction</t>
  </si>
  <si>
    <t>Sum of site preparation, engineering and design, contingency, and permitting.</t>
  </si>
  <si>
    <t>Total capital investment</t>
  </si>
  <si>
    <t>TIC × 1.28</t>
  </si>
  <si>
    <t>2019 CAD</t>
  </si>
  <si>
    <t>Wei thesis, Equation 2.19 and Section 2.5.4.2</t>
  </si>
  <si>
    <t>TCI = TIC plus 28% indirect capital costs under the thesis implementation.</t>
  </si>
  <si>
    <t>2017 base-year convention. Use the same GDP implicit price-index series for both years.</t>
  </si>
  <si>
    <t>2017 base-year convention. Target price-year index.</t>
  </si>
  <si>
    <t>2019-to-2020 escalation factor</t>
  </si>
  <si>
    <t>105 / 103.3</t>
  </si>
  <si>
    <t>Derived from Statistics Canada GDP deflators</t>
  </si>
  <si>
    <t>Apply to costs already expressed in 2019 CAD: Cost_2020CAD = Cost_2019CAD × 105 / 103.3.</t>
  </si>
  <si>
    <t>Labour OPEX</t>
  </si>
  <si>
    <t>Annual direct labour-hour coefficient</t>
  </si>
  <si>
    <t>Used in annual labour hours = 288 × (x / 100000)^0.25, where x is compressor design capacity in kg H2/day.</t>
  </si>
  <si>
    <t>Labour scaling exponent</t>
  </si>
  <si>
    <t>Controls sublinear scaling of annual compressor labour requirements with design capacity.</t>
  </si>
  <si>
    <t>Labour capacity denominator</t>
  </si>
  <si>
    <t>Reference capacity used in the compressor labour-hours equation.</t>
  </si>
  <si>
    <t>Direct labour rate</t>
  </si>
  <si>
    <t>Multiply by annual direct labour hours. Convert to the target currency year using an appropriate labour-cost index or the workbook conversion convention.</t>
  </si>
  <si>
    <t>Indirect labour factor</t>
  </si>
  <si>
    <t>Represents overhead such as head-office and non-operating personnel costs.</t>
  </si>
  <si>
    <t>Annual direct labour cost</t>
  </si>
  <si>
    <t>288 × (x / 100000)^0.25 × labour rate</t>
  </si>
  <si>
    <t>x is compressor design capacity in kg H2/day.</t>
  </si>
  <si>
    <t>Annual indirect labour cost</t>
  </si>
  <si>
    <t>Direct labour cost × 0.50</t>
  </si>
  <si>
    <t>Annual overhead labour expense.</t>
  </si>
  <si>
    <t>Compressor maintenance and repairs fraction</t>
  </si>
  <si>
    <t>fraction of TIC/year</t>
  </si>
  <si>
    <t>Annual operating, maintenance, and repair cost is 4% of total installed cost, not TCI.</t>
  </si>
  <si>
    <t>Insurance fraction</t>
  </si>
  <si>
    <t>fraction of TCI/year</t>
  </si>
  <si>
    <t>Annual insurance cost is 1% of total capital investment.</t>
  </si>
  <si>
    <t>Property tax fraction</t>
  </si>
  <si>
    <t>Annual property-tax cost is 1% of total capital investment.</t>
  </si>
  <si>
    <t>Licensing and permitting fraction</t>
  </si>
  <si>
    <t>Recurring annual licensing and permitting cost. Distinct from the 3% one-time capital permitting allowance.</t>
  </si>
  <si>
    <t>TIC × 0.04</t>
  </si>
  <si>
    <t>Calculated annual maintenance and repairs.</t>
  </si>
  <si>
    <t>TCI × 0.01</t>
  </si>
  <si>
    <t>Calculated annual insurance cost.</t>
  </si>
  <si>
    <t>Calculated annual property-tax cost.</t>
  </si>
  <si>
    <t>TCI × 0.001</t>
  </si>
  <si>
    <t>Calculated recurring licensing and permitting expense.</t>
  </si>
  <si>
    <t>Direct labour cost + indirect labour cost</t>
  </si>
  <si>
    <t>Capacity-dependent annual labour obligation. Keep separate from TCI-based fixed OPEX for auditing.</t>
  </si>
  <si>
    <t>Insurance + property tax + licensing and permitting + maintenance and repairs</t>
  </si>
  <si>
    <t>Non-labour annual fixed OPEX.</t>
  </si>
  <si>
    <t>Total non-energy OPEX</t>
  </si>
  <si>
    <t>Direct labour + indirect labour + maintenance and repairs + insurance + property tax + licensing and permitting</t>
  </si>
  <si>
    <t>Cannot be represented by one universal percentage because labour depends on capacity, maintenance uses TIC, and the other fixed costs use TCI.</t>
  </si>
  <si>
    <t>Normalization</t>
  </si>
  <si>
    <t>Source availability factor</t>
  </si>
  <si>
    <t>Used by the technical brief when normalizing annual costs per kg H2. Do not automatically embed this in TEMOA costs if activity is modelled endogenously.</t>
  </si>
  <si>
    <t>Days per year</t>
  </si>
  <si>
    <t>Workbook convention</t>
  </si>
  <si>
    <t>Used to convert daily design capacity to annual throughput.</t>
  </si>
  <si>
    <t>Transition Accelerator compression brief</t>
  </si>
  <si>
    <t>Used to convert hydrogen mass flow to molar flow.</t>
  </si>
  <si>
    <t>Ratio of Cp to Cv for hydrogen under the assumed operating conditions.</t>
  </si>
  <si>
    <t>Wei thesis / workbook methodology</t>
  </si>
  <si>
    <t>Average value over the selected 28-to-70 bar compression range. Reassess if pressure or temperature assumptions change.</t>
  </si>
  <si>
    <t>Unit basis must remain consistent with molar flow and temperature in the compressor power equation.</t>
  </si>
  <si>
    <t>Wei thesis</t>
  </si>
  <si>
    <t>Compressor inlet temperature. Complete intercooling returns hydrogen to this temperature after each stage.</t>
  </si>
  <si>
    <t>Pressure</t>
  </si>
  <si>
    <t>Matches the outlet pressure of the associated pipeline segment.</t>
  </si>
  <si>
    <t>Transition Accelerator pipeline design / Wei thesis</t>
  </si>
  <si>
    <t>Matches the inlet pressure of the following pipeline segment.</t>
  </si>
  <si>
    <t>Used to calculate the minimum number of compression stages.</t>
  </si>
  <si>
    <t>Equal pressure ratio across stages</t>
  </si>
  <si>
    <t>Boolean</t>
  </si>
  <si>
    <t>Assumes each stage applies the same pressure ratio.</t>
  </si>
  <si>
    <t>Complete intercooling</t>
  </si>
  <si>
    <t>Hydrogen is cooled to the initial suction temperature after each stage.</t>
  </si>
  <si>
    <t>Intercooler pressure drop</t>
  </si>
  <si>
    <t>Idealized assumption; no pressure loss between stages.</t>
  </si>
  <si>
    <t>Electric motor efficiency</t>
  </si>
  <si>
    <t>Converts compressor shaft power to electrical input power.</t>
  </si>
  <si>
    <t>Source reference value for large pipeline compressors.</t>
  </si>
  <si>
    <t>Upper bound used in the capacity-dependent efficiency relationship.</t>
  </si>
  <si>
    <t>Equipment sizing</t>
  </si>
  <si>
    <t>kW/unit</t>
  </si>
  <si>
    <t>Required station power above this value must be divided among multiple compressor units.</t>
  </si>
  <si>
    <t>Number of operating compressor units</t>
  </si>
  <si>
    <t>Derived workbook equation</t>
  </si>
  <si>
    <t>Parallel units are sized so that no individual unit exceeds 16 MW.</t>
  </si>
  <si>
    <t>Rated power per compressor unit</t>
  </si>
  <si>
    <t>P_station / n_units</t>
  </si>
  <si>
    <t>Equal sizing across operating units unless an alternative configuration is introduced.</t>
  </si>
  <si>
    <t>Standby compressor units</t>
  </si>
  <si>
    <t>No N+1 redundancy included in the base case. Add only as a separate reliability assumption.</t>
  </si>
  <si>
    <t>Segment configuration</t>
  </si>
  <si>
    <t>Reference pipeline segment length</t>
  </si>
  <si>
    <t>One recompression station is associated with each 250 km pipeline segment.</t>
  </si>
  <si>
    <t>Compressor stations per segment</t>
  </si>
  <si>
    <t>station/segment</t>
  </si>
  <si>
    <t>Used to normalize station CAPEX, fixed OPEX, and electricity intensity by distance.</t>
  </si>
  <si>
    <t>Temporal</t>
  </si>
  <si>
    <t>Used to convert daily hydrogen capacity to annual capacity.</t>
  </si>
  <si>
    <t>Hours per day</t>
  </si>
  <si>
    <t>hours/day</t>
  </si>
  <si>
    <t>Used to calculate daily compressor electricity consumption.</t>
  </si>
  <si>
    <t>Hours per year</t>
  </si>
  <si>
    <t>Used only where annual full-load operation is explicitly required.</t>
  </si>
  <si>
    <t>Ceiling(P_station / 16000)</t>
  </si>
  <si>
    <t>Capacity-dependent isentropic-efficiency equation</t>
  </si>
  <si>
    <t>Wei thesis / workbook adaptation</t>
  </si>
  <si>
    <t>Document the independent variable, lower bound, upper bound, and any breakpoint or regression method.</t>
  </si>
  <si>
    <t>NOT CONSIDERED UNTIL WE HAVE GRID CONNECTION OPTION</t>
  </si>
  <si>
    <t>Reconstructs the hydrogen compressor thermodynamic, equipment-sizing, capital-cost, operating-cost, and electricity-consumption calculations for each pipeline capacity case. It links compressor flow cases to the corresponding pipeline design cases, divides required station power among physically allowable compressor units, converts source-year costs to the workbook currency basis, and normalizes compressor CAPEX, fixed OPEX, labour OPEX, and electricity requirements by capacity and reference segment length for combination with the pipeline subsystem.</t>
  </si>
  <si>
    <t>Use 0.002016 kg/mol rather than 0.002 kg/mol unless reproducing a rounded source calculation. This converts hydrogen mass flow to molar flow.</t>
  </si>
  <si>
    <t>Transition Accelerator compression brief; standard physical constant</t>
  </si>
  <si>
    <t>Ratio of hydrogen specific heat at constant pressure to specific heat at constant volume, Cp/Cv</t>
  </si>
  <si>
    <t>Assumed constant over the selected compressor operating range. The Transition Accelerator brief commonly rounds this value to 1.41; retain 1.405 if used consistently in all calculations.</t>
  </si>
  <si>
    <t>Average hydrogen compressibility factor</t>
  </si>
  <si>
    <t>Average value used over the assumed pressure and temperature range. Recalculate or test sensitivity if suction pressure, discharge pressure, or temperature changes materially.</t>
  </si>
  <si>
    <t>Wei thesis, Section 2.5.2; pipeline-model assumption</t>
  </si>
  <si>
    <t>r_stage,max</t>
  </si>
  <si>
    <t>Maximum allowable compression ratio per stage</t>
  </si>
  <si>
    <t>Used to determine the minimum number of compressor stages. The compression brief notes that feasible ratios vary by compressor type; 2.1 is the selected pipeline-compressor assumption, not a universal limit.</t>
  </si>
  <si>
    <t>Compressor suction temperature</t>
  </si>
  <si>
    <t>Assumed approximately equal to ambient temperature. Under complete intercooling, hydrogen is returned to this temperature between stages.</t>
  </si>
  <si>
    <t>Wei thesis; workbook assumption</t>
  </si>
  <si>
    <t>Unit basis must remain consistent with molar flow in mol/s and compressor power in watts.</t>
  </si>
  <si>
    <t>Compressor suction pressure</t>
  </si>
  <si>
    <t>Matches the outlet pressure of the associated 250 km pipeline segment. This is an adaptation from the Wei thesis; the Transition Accelerator pipeline case study uses a different suction pressure in its reference compressor case.</t>
  </si>
  <si>
    <t>Wei thesis, Section 2.5.2</t>
  </si>
  <si>
    <t>Compressor discharge pressure</t>
  </si>
  <si>
    <t>Matches the inlet pressure of the following pipeline segment. Used with suction pressure to calculate the overall compression ratio.</t>
  </si>
  <si>
    <t>Transition Accelerator pipeline brief; Wei thesis</t>
  </si>
  <si>
    <t>Converts compressor shaft power to required electrical input power: P_electric = P_shaft / eta_motor.</t>
  </si>
  <si>
    <t>2019 average exchange rate used by the source to convert the underlying compressor cost correlation from USD to CAD. Already embedded in the published 3083.3 coefficient; do not apply again.</t>
  </si>
  <si>
    <t>The Techno-Economics of Hydrogen Compression, Table 4.2</t>
  </si>
  <si>
    <t>CEPCI escalation factor</t>
  </si>
  <si>
    <t>Calculated as 619.2 / 525.4 to escalate the underlying 2007 equipment-cost correlation to 2019. Already embedded in the published 3083.3 coefficient; retain only for provenance.</t>
  </si>
  <si>
    <t>Source weighted-average cost of capital used to calculate the capital recovery factor and reproduce levelized compressor costs. Do not embed this annualization in TEMOA CostInvest.</t>
  </si>
  <si>
    <t>Source compressor economic lifetime used in the capital recovery factor. Use as the compressor technology lifetime in TEMOA unless a different physical lifetime is selected.</t>
  </si>
  <si>
    <t>Source assumption used to calculate annual hydrogen throughput and levelized compressor costs. Represents approximately 10% downtime for maintenance and unplanned outages.</t>
  </si>
  <si>
    <t>The Techno-Economics of Hydrogen Compression, Section 4.2 and Table 4.2</t>
  </si>
  <si>
    <t>Workbook design-capacity factor</t>
  </si>
  <si>
    <t>Workbook convention used when annual design capacity is calculated as daily capacity × 365. This is not the source availability assumption and should not constrain endogenous TEMOA activity.</t>
  </si>
  <si>
    <t>Exponent in the pipeline-compressor uninstalled-cost relationship: UC = 3083.3 × P^0.8335. Power must be entered in kW.</t>
  </si>
  <si>
    <t>The Techno-Economics of Hydrogen Compression, Table 4.1</t>
  </si>
  <si>
    <t>Converts uninstalled compressor equipment cost to total installed cost: TIC = UC × 2.</t>
  </si>
  <si>
    <t>Annual calendar hours</t>
  </si>
  <si>
    <t>Used only for annual full-load electricity calculations. Physical electricity intensity should normally be calculated directly from rated power and hydrogen throughput.</t>
  </si>
  <si>
    <t>2019 CAD/kWh_e</t>
  </si>
  <si>
    <t>Alberta industrial electricity price used to reproduce source compressor energy OPEX. Prefer mapping compressor electricity as a physical input coefficient in TEMOA rather than embedding this price in CostVariable.</t>
  </si>
  <si>
    <t>Final compressor CAPEX and non-energy OPEX are converted from 2019 CAD to real 2020 CAD using the selected workbook escalation convention.</t>
  </si>
  <si>
    <t>GDP deflator 2019</t>
  </si>
  <si>
    <t>Source-year index for converting 2019 CAD compressor costs to the workbook target price year. Uses the selected Statistics Canada GDP implicit price-index series.</t>
  </si>
  <si>
    <t>Statistics Canada Table 36-10-0130-01</t>
  </si>
  <si>
    <t>GDP deflator 2020</t>
  </si>
  <si>
    <t>Target-year index for expressing compressor costs in real 2020 CAD.</t>
  </si>
  <si>
    <t>Derived Model Units</t>
  </si>
  <si>
    <t>Derived</t>
  </si>
  <si>
    <t>P_discharge / P_suction = 70 / 28.</t>
  </si>
  <si>
    <t>Derived workbook calculation</t>
  </si>
  <si>
    <t>Unrounded number of compressor stages</t>
  </si>
  <si>
    <t>LN(r_p) / LN(r_stage,max).</t>
  </si>
  <si>
    <t>Integer number of compressor stages</t>
  </si>
  <si>
    <t>CEILING(N_raw,1). Rounded upward so the selected maximum compression ratio per stage is not exceeded.</t>
  </si>
  <si>
    <t>H2 Transmission Pipeline Capacity-dependent annual labour Fixed OPEX</t>
  </si>
  <si>
    <t>H2 Transmission Pipeline Fixed OPEX</t>
  </si>
  <si>
    <t>High flow rate - Moderate Compression Ratio H2 Compression Capacity-dependent Fixed Variable OPEX (note: this can potentially be treated as fixed costs given that we are using a per km basis not a specific pipeline)</t>
  </si>
  <si>
    <t>Total Labour Costs, compressor ($ 2020 CAD per year / km*  t H2 per year capacity)</t>
  </si>
  <si>
    <t>Total Labour Costs, pipe ($ 2020 CAD per year / km*  t H2 per year capacity)</t>
  </si>
  <si>
    <t>TEMOA Cost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</si>
</sst>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_-* #,##0_-;\-* #,##0_-;_-* &quot;-&quot;??_-;_-@_-"/>
    <numFmt numFmtId="165" formatCode="_-&quot;$&quot;* #,##0_-;\-&quot;$&quot;* #,##0_-;_-&quot;$&quot;* &quot;-&quot;??_-;_-@_-"/>
    <numFmt numFmtId="166" formatCode="_-&quot;$&quot;* #,##0.000_-;\-&quot;$&quot;* #,##0.000_-;_-&quot;$&quot;* &quot;-&quot;??_-;_-@_-"/>
    <numFmt numFmtId="167" formatCode="_-&quot;$&quot;* #,##0.0000_-;\-&quot;$&quot;* #,##0.0000_-;_-&quot;$&quot;* &quot;-&quot;??_-;_-@_-"/>
    <numFmt numFmtId="168" formatCode="_-&quot;$&quot;* #,##0.00000_-;\-&quot;$&quot;* #,##0.00000_-;_-&quot;$&quot;* &quot;-&quot;??_-;_-@_-"/>
  </numFmts>
  <fonts count="6">
    <font>
      <sz val="11"/>
      <name val="Carlito"/>
    </font>
    <font>
      <b/>
      <sz val="14"/>
      <color rgb="FFFFFFFF"/>
      <name val="Carlito"/>
    </font>
    <font>
      <b/>
      <sz val="11"/>
      <color rgb="FF000000"/>
      <name val="Carlito"/>
    </font>
    <font>
      <sz val="11"/>
      <name val="Carlito"/>
    </font>
    <font>
      <sz val="8"/>
      <name val="Carlito"/>
    </font>
    <font>
      <b/>
      <sz val="11"/>
      <name val="Carlito"/>
    </font>
  </fonts>
  <fills count="4">
    <fill>
      <patternFill patternType="none"/>
    </fill>
    <fill>
      <patternFill patternType="gray125"/>
    </fill>
    <fill>
      <patternFill patternType="solid">
        <fgColor rgb="FF17365D"/>
      </patternFill>
    </fill>
    <fill>
      <patternFill patternType="solid">
        <fgColor rgb="FFD9EAF7"/>
      </patternFill>
    </fill>
  </fills>
  <borders count="7">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9"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cellStyleXfs>
  <cellXfs count="65">
    <xf numFmtId="0" fontId="0" fillId="0" borderId="0" xfId="0"/>
    <xf numFmtId="0" fontId="0" fillId="0" borderId="1" xfId="0" applyBorder="1"/>
    <xf numFmtId="0" fontId="0" fillId="0" borderId="0" xfId="0" applyAlignment="1">
      <alignment wrapText="1"/>
    </xf>
    <xf numFmtId="0" fontId="5" fillId="0" borderId="2" xfId="0" applyFont="1" applyBorder="1"/>
    <xf numFmtId="0" fontId="0" fillId="0" borderId="2" xfId="0" applyBorder="1"/>
    <xf numFmtId="0" fontId="0" fillId="0" borderId="2" xfId="0" applyBorder="1" applyAlignment="1">
      <alignment wrapText="1"/>
    </xf>
    <xf numFmtId="0" fontId="2" fillId="3" borderId="2" xfId="0" applyFont="1" applyFill="1" applyBorder="1" applyAlignment="1">
      <alignment horizontal="center" vertical="center" wrapText="1"/>
    </xf>
    <xf numFmtId="9" fontId="0" fillId="0" borderId="0" xfId="1" applyFont="1"/>
    <xf numFmtId="9" fontId="0" fillId="0" borderId="2" xfId="1" applyFont="1" applyBorder="1"/>
    <xf numFmtId="1" fontId="0" fillId="0" borderId="2" xfId="0" applyNumberFormat="1" applyBorder="1"/>
    <xf numFmtId="11" fontId="0" fillId="0" borderId="2" xfId="0" applyNumberFormat="1" applyBorder="1"/>
    <xf numFmtId="44" fontId="0" fillId="0" borderId="2" xfId="2" applyFont="1" applyBorder="1"/>
    <xf numFmtId="2" fontId="0" fillId="0" borderId="2" xfId="0" applyNumberFormat="1" applyBorder="1"/>
    <xf numFmtId="44" fontId="0" fillId="0" borderId="2" xfId="0" applyNumberFormat="1" applyBorder="1"/>
    <xf numFmtId="1" fontId="0" fillId="0" borderId="2" xfId="2" applyNumberFormat="1" applyFont="1" applyBorder="1"/>
    <xf numFmtId="164" fontId="0" fillId="0" borderId="2" xfId="0" applyNumberFormat="1" applyBorder="1"/>
    <xf numFmtId="0" fontId="0" fillId="0" borderId="1" xfId="0" applyBorder="1" applyAlignment="1">
      <alignment wrapText="1"/>
    </xf>
    <xf numFmtId="0" fontId="0" fillId="0" borderId="2" xfId="0" applyBorder="1" applyAlignment="1">
      <alignment vertical="top" wrapText="1"/>
    </xf>
    <xf numFmtId="0" fontId="0" fillId="0" borderId="2" xfId="0" applyBorder="1" applyAlignment="1">
      <alignment vertical="top"/>
    </xf>
    <xf numFmtId="2" fontId="0" fillId="0" borderId="1" xfId="0" applyNumberFormat="1" applyBorder="1"/>
    <xf numFmtId="0" fontId="5" fillId="0" borderId="2" xfId="0" applyFont="1" applyBorder="1" applyAlignment="1">
      <alignment wrapText="1"/>
    </xf>
    <xf numFmtId="0" fontId="0" fillId="0" borderId="3" xfId="0" applyBorder="1"/>
    <xf numFmtId="2" fontId="0" fillId="0" borderId="4" xfId="0" applyNumberFormat="1" applyBorder="1"/>
    <xf numFmtId="0" fontId="0" fillId="0" borderId="4" xfId="0" applyBorder="1"/>
    <xf numFmtId="1" fontId="0" fillId="0" borderId="4" xfId="0" applyNumberFormat="1" applyBorder="1"/>
    <xf numFmtId="165" fontId="0" fillId="0" borderId="0" xfId="0" applyNumberFormat="1"/>
    <xf numFmtId="165" fontId="0" fillId="0" borderId="2" xfId="2" applyNumberFormat="1" applyFont="1" applyBorder="1"/>
    <xf numFmtId="165" fontId="0" fillId="0" borderId="2" xfId="0" applyNumberFormat="1" applyBorder="1"/>
    <xf numFmtId="1" fontId="0" fillId="0" borderId="1" xfId="0" applyNumberFormat="1" applyBorder="1"/>
    <xf numFmtId="166" fontId="0" fillId="0" borderId="2" xfId="0" applyNumberFormat="1" applyBorder="1"/>
    <xf numFmtId="167" fontId="0" fillId="0" borderId="2" xfId="0" applyNumberFormat="1" applyBorder="1"/>
    <xf numFmtId="167" fontId="0" fillId="0" borderId="2" xfId="2" applyNumberFormat="1" applyFont="1" applyBorder="1"/>
    <xf numFmtId="168" fontId="0" fillId="0" borderId="2" xfId="0" applyNumberFormat="1" applyBorder="1"/>
    <xf numFmtId="0" fontId="5" fillId="0" borderId="2" xfId="0" applyFont="1" applyBorder="1" applyAlignment="1">
      <alignment vertical="top" wrapText="1"/>
    </xf>
    <xf numFmtId="0" fontId="0" fillId="0" borderId="0" xfId="0" applyAlignment="1">
      <alignment horizontal="left" vertical="top"/>
    </xf>
    <xf numFmtId="0" fontId="5" fillId="0" borderId="5" xfId="0" applyFont="1" applyBorder="1"/>
    <xf numFmtId="164" fontId="0" fillId="0" borderId="5" xfId="3" applyNumberFormat="1" applyFont="1" applyBorder="1"/>
    <xf numFmtId="0" fontId="0" fillId="0" borderId="2"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xf>
    <xf numFmtId="0" fontId="5" fillId="0" borderId="2" xfId="0" applyFont="1" applyBorder="1" applyAlignment="1">
      <alignment horizontal="left" vertical="top"/>
    </xf>
    <xf numFmtId="9" fontId="0" fillId="0" borderId="2" xfId="1" applyFont="1" applyBorder="1" applyAlignment="1">
      <alignment horizontal="left" vertical="top"/>
    </xf>
    <xf numFmtId="0" fontId="5" fillId="0" borderId="2" xfId="0" applyFont="1" applyBorder="1" applyAlignment="1">
      <alignment horizontal="left" vertical="top" wrapText="1"/>
    </xf>
    <xf numFmtId="1" fontId="0" fillId="0" borderId="5" xfId="0" applyNumberFormat="1" applyBorder="1"/>
    <xf numFmtId="164" fontId="0" fillId="0" borderId="1" xfId="0" applyNumberFormat="1" applyBorder="1"/>
    <xf numFmtId="44" fontId="0" fillId="0" borderId="1" xfId="2" applyFont="1" applyBorder="1"/>
    <xf numFmtId="44" fontId="0" fillId="0" borderId="1" xfId="0" applyNumberFormat="1" applyBorder="1"/>
    <xf numFmtId="1" fontId="0" fillId="0" borderId="1" xfId="2" applyNumberFormat="1" applyFont="1" applyBorder="1"/>
    <xf numFmtId="167" fontId="0" fillId="0" borderId="1" xfId="2" applyNumberFormat="1" applyFont="1" applyBorder="1"/>
    <xf numFmtId="0" fontId="5" fillId="0" borderId="2" xfId="0" applyFont="1" applyBorder="1" applyAlignment="1">
      <alignment horizontal="left"/>
    </xf>
    <xf numFmtId="0" fontId="0" fillId="0" borderId="2" xfId="0" applyBorder="1" applyAlignment="1">
      <alignment horizontal="right"/>
    </xf>
    <xf numFmtId="2" fontId="0" fillId="0" borderId="2" xfId="1" applyNumberFormat="1" applyFont="1" applyBorder="1" applyAlignment="1">
      <alignment horizontal="right"/>
    </xf>
    <xf numFmtId="2" fontId="3" fillId="0" borderId="2" xfId="1" applyNumberFormat="1" applyFont="1" applyBorder="1" applyAlignment="1">
      <alignment horizontal="right"/>
    </xf>
    <xf numFmtId="0" fontId="0" fillId="0" borderId="1" xfId="0" applyBorder="1" applyAlignment="1">
      <alignment vertical="top" wrapText="1"/>
    </xf>
    <xf numFmtId="2" fontId="5" fillId="0" borderId="2" xfId="0" applyNumberFormat="1" applyFont="1" applyBorder="1"/>
    <xf numFmtId="0" fontId="1" fillId="2" borderId="0" xfId="0" applyFont="1" applyFill="1" applyAlignment="1">
      <alignment horizontal="left" vertical="center"/>
    </xf>
    <xf numFmtId="0" fontId="5" fillId="0" borderId="2" xfId="0" applyFont="1" applyBorder="1" applyAlignment="1">
      <alignment horizontal="center" wrapText="1"/>
    </xf>
    <xf numFmtId="0" fontId="5" fillId="0" borderId="6" xfId="0" applyFont="1" applyBorder="1" applyAlignment="1">
      <alignment horizontal="center" vertical="center"/>
    </xf>
    <xf numFmtId="0" fontId="1" fillId="2" borderId="2" xfId="0" applyFont="1" applyFill="1" applyBorder="1" applyAlignment="1">
      <alignment horizontal="center" vertical="center"/>
    </xf>
    <xf numFmtId="0" fontId="5" fillId="0" borderId="2" xfId="0" applyFont="1" applyBorder="1" applyAlignment="1">
      <alignment horizontal="center"/>
    </xf>
    <xf numFmtId="0" fontId="0" fillId="0" borderId="2" xfId="0" applyBorder="1" applyAlignment="1">
      <alignment horizontal="left" wrapText="1"/>
    </xf>
    <xf numFmtId="0" fontId="1" fillId="2" borderId="2" xfId="0" applyFont="1" applyFill="1" applyBorder="1" applyAlignment="1">
      <alignment horizontal="left" vertic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cellXfs>
  <cellStyles count="4">
    <cellStyle name="Comma" xfId="3" builtinId="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Costs'!$A$1:$G$1</c:f>
              <c:strCache>
                <c:ptCount val="1"/>
                <c:pt idx="0">
                  <c:v>Distribution Cost-Capacity CAPEX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1"/>
            <c:dispEq val="1"/>
            <c:trendlineLbl>
              <c:layout>
                <c:manualLayout>
                  <c:x val="-0.42827913826624903"/>
                  <c:y val="-9.667820507943752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Costs'!$D$3:$D$15</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Costs'!$G$3:$G$15</c:f>
              <c:numCache>
                <c:formatCode>_("$"* #,##0.00_);_("$"* \(#,##0.00\);_("$"* "-"??_);_(@_)</c:formatCode>
                <c:ptCount val="13"/>
                <c:pt idx="0">
                  <c:v>1394121.0020348802</c:v>
                </c:pt>
                <c:pt idx="1">
                  <c:v>1632461.1119545461</c:v>
                </c:pt>
                <c:pt idx="2">
                  <c:v>1880928.1988608202</c:v>
                </c:pt>
                <c:pt idx="3">
                  <c:v>2140113.278825121</c:v>
                </c:pt>
                <c:pt idx="4">
                  <c:v>2410693.5688478118</c:v>
                </c:pt>
                <c:pt idx="5">
                  <c:v>2694415.6250198083</c:v>
                </c:pt>
                <c:pt idx="6">
                  <c:v>2991623.8827310796</c:v>
                </c:pt>
                <c:pt idx="7">
                  <c:v>3303302.3134632451</c:v>
                </c:pt>
                <c:pt idx="8">
                  <c:v>3630651.193708803</c:v>
                </c:pt>
                <c:pt idx="9">
                  <c:v>3975045.5680197491</c:v>
                </c:pt>
                <c:pt idx="10">
                  <c:v>4338062.3853865629</c:v>
                </c:pt>
                <c:pt idx="11">
                  <c:v>4721511.605674943</c:v>
                </c:pt>
                <c:pt idx="12">
                  <c:v>5127471.9096628781</c:v>
                </c:pt>
              </c:numCache>
            </c:numRef>
          </c:yVal>
          <c:smooth val="0"/>
          <c:extLst>
            <c:ext xmlns:c16="http://schemas.microsoft.com/office/drawing/2014/chart" uri="{C3380CC4-5D6E-409C-BE32-E72D297353CC}">
              <c16:uniqueId val="{00000000-FCDF-4F35-AE51-A71E7083A82C}"/>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Costs'!$D$2</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400000"/>
      </c:valAx>
      <c:valAx>
        <c:axId val="730388096"/>
        <c:scaling>
          <c:orientation val="minMax"/>
        </c:scaling>
        <c:delete val="0"/>
        <c:axPos val="l"/>
        <c:title>
          <c:tx>
            <c:strRef>
              <c:f>'Normalized Transmission Costs'!$G$2</c:f>
              <c:strCache>
                <c:ptCount val="1"/>
                <c:pt idx="0">
                  <c:v>Total CAPEX ($ 2020 CAD / km)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Costs'!$A$18:$H$18</c:f>
              <c:strCache>
                <c:ptCount val="1"/>
                <c:pt idx="0">
                  <c:v>Distribution Cost-Capacity Variable OPEX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7200748141507937"/>
                  <c:y val="-6.399619165251402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Costs'!$D$20:$D$32</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Costs'!$G$20:$G$32</c:f>
              <c:numCache>
                <c:formatCode>_("$"* #,##0.00_);_("$"* \(#,##0.00\);_("$"* "-"??_);_(@_)</c:formatCode>
                <c:ptCount val="13"/>
                <c:pt idx="0">
                  <c:v>10333.90698512792</c:v>
                </c:pt>
                <c:pt idx="1">
                  <c:v>17901.573987524062</c:v>
                </c:pt>
                <c:pt idx="2">
                  <c:v>27961.113404241689</c:v>
                </c:pt>
                <c:pt idx="3">
                  <c:v>40711.907843544104</c:v>
                </c:pt>
                <c:pt idx="4">
                  <c:v>56335.036261055138</c:v>
                </c:pt>
                <c:pt idx="5">
                  <c:v>75167.744426984267</c:v>
                </c:pt>
                <c:pt idx="6">
                  <c:v>97417.863378221024</c:v>
                </c:pt>
                <c:pt idx="7">
                  <c:v>123270.42616637965</c:v>
                </c:pt>
                <c:pt idx="8">
                  <c:v>152901.40087859033</c:v>
                </c:pt>
                <c:pt idx="9">
                  <c:v>186478.90689051017</c:v>
                </c:pt>
                <c:pt idx="10">
                  <c:v>224164.18097971735</c:v>
                </c:pt>
                <c:pt idx="11">
                  <c:v>266112.35996012698</c:v>
                </c:pt>
                <c:pt idx="12">
                  <c:v>312473.12524278136</c:v>
                </c:pt>
              </c:numCache>
            </c:numRef>
          </c:yVal>
          <c:smooth val="0"/>
          <c:extLst>
            <c:ext xmlns:c16="http://schemas.microsoft.com/office/drawing/2014/chart" uri="{C3380CC4-5D6E-409C-BE32-E72D297353CC}">
              <c16:uniqueId val="{00000000-3F52-47DC-9E0D-7470F002A967}"/>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Costs'!$D$19</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500000"/>
      </c:valAx>
      <c:valAx>
        <c:axId val="730388096"/>
        <c:scaling>
          <c:orientation val="minMax"/>
        </c:scaling>
        <c:delete val="0"/>
        <c:axPos val="l"/>
        <c:title>
          <c:tx>
            <c:strRef>
              <c:f>'Normalized Transmission Costs'!$G$19</c:f>
              <c:strCache>
                <c:ptCount val="1"/>
                <c:pt idx="0">
                  <c:v>Total Variable OPEX ($ 2020 CAD/ km)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Costs'!$A$35:$G$35</c:f>
              <c:strCache>
                <c:ptCount val="1"/>
                <c:pt idx="0">
                  <c:v>Distribution Cost-Capacity Fixed OPEX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6490748888609534"/>
                  <c:y val="-0.1265863825845298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Costs'!$D$37:$D$49</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Costs'!$J$37:$J$49</c:f>
              <c:numCache>
                <c:formatCode>_("$"* #,##0.00_);_("$"* \(#,##0.00\);_("$"* "-"??_);_(@_)</c:formatCode>
                <c:ptCount val="13"/>
                <c:pt idx="0">
                  <c:v>40138.383237220107</c:v>
                </c:pt>
                <c:pt idx="1">
                  <c:v>60354.158581172378</c:v>
                </c:pt>
                <c:pt idx="2">
                  <c:v>80401.712562438697</c:v>
                </c:pt>
                <c:pt idx="3">
                  <c:v>100426.34061532494</c:v>
                </c:pt>
                <c:pt idx="4">
                  <c:v>120535.91314538338</c:v>
                </c:pt>
                <c:pt idx="5">
                  <c:v>140829.06930608937</c:v>
                </c:pt>
                <c:pt idx="6">
                  <c:v>161376.67992628439</c:v>
                </c:pt>
                <c:pt idx="7">
                  <c:v>182237.9098675084</c:v>
                </c:pt>
                <c:pt idx="8">
                  <c:v>203465.07687746512</c:v>
                </c:pt>
                <c:pt idx="9">
                  <c:v>225106.25913813172</c:v>
                </c:pt>
                <c:pt idx="10">
                  <c:v>247207.20382602556</c:v>
                </c:pt>
                <c:pt idx="11">
                  <c:v>269812.7952397851</c:v>
                </c:pt>
                <c:pt idx="12">
                  <c:v>292968.24542356405</c:v>
                </c:pt>
              </c:numCache>
            </c:numRef>
          </c:yVal>
          <c:smooth val="0"/>
          <c:extLst>
            <c:ext xmlns:c16="http://schemas.microsoft.com/office/drawing/2014/chart" uri="{C3380CC4-5D6E-409C-BE32-E72D297353CC}">
              <c16:uniqueId val="{00000000-CD37-4954-874F-9A044AD1587C}"/>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Costs'!$D$36</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400000"/>
      </c:valAx>
      <c:valAx>
        <c:axId val="730388096"/>
        <c:scaling>
          <c:orientation val="minMax"/>
          <c:min val="0"/>
        </c:scaling>
        <c:delete val="0"/>
        <c:axPos val="l"/>
        <c:title>
          <c:tx>
            <c:strRef>
              <c:f>'Normalized Transmission Costs'!$J$36</c:f>
              <c:strCache>
                <c:ptCount val="1"/>
                <c:pt idx="0">
                  <c:v>Total Fixed OPEX ($ 2020 CAD per year / km* per year capacity)</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Costs'!$A$18:$H$18</c:f>
              <c:strCache>
                <c:ptCount val="1"/>
                <c:pt idx="0">
                  <c:v>Distribution Cost-Capacity Variable OPEX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4127684189401362"/>
                  <c:y val="-0.5685269513724577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Costs'!$D$20:$D$32</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Costs'!$F$20:$F$32</c:f>
              <c:numCache>
                <c:formatCode>_("$"* #,##0.00_);_("$"* \(#,##0.00\);_("$"* "-"??_);_(@_)</c:formatCode>
                <c:ptCount val="13"/>
                <c:pt idx="0">
                  <c:v>0.19144123248600339</c:v>
                </c:pt>
                <c:pt idx="1">
                  <c:v>0.18769562274743848</c:v>
                </c:pt>
                <c:pt idx="2">
                  <c:v>0.18474232570479049</c:v>
                </c:pt>
                <c:pt idx="3">
                  <c:v>0.18231690351822327</c:v>
                </c:pt>
                <c:pt idx="4">
                  <c:v>0.18026680545230736</c:v>
                </c:pt>
                <c:pt idx="5">
                  <c:v>0.18012643912797924</c:v>
                </c:pt>
                <c:pt idx="6">
                  <c:v>0.18012643912797921</c:v>
                </c:pt>
                <c:pt idx="7">
                  <c:v>0.18012643912797927</c:v>
                </c:pt>
                <c:pt idx="8">
                  <c:v>0.18012643912797924</c:v>
                </c:pt>
                <c:pt idx="9">
                  <c:v>0.18012643912797927</c:v>
                </c:pt>
                <c:pt idx="10">
                  <c:v>0.18012643912797929</c:v>
                </c:pt>
                <c:pt idx="11">
                  <c:v>0.18012643912797927</c:v>
                </c:pt>
                <c:pt idx="12">
                  <c:v>0.18012643912797929</c:v>
                </c:pt>
              </c:numCache>
            </c:numRef>
          </c:yVal>
          <c:smooth val="0"/>
          <c:extLst>
            <c:ext xmlns:c16="http://schemas.microsoft.com/office/drawing/2014/chart" uri="{C3380CC4-5D6E-409C-BE32-E72D297353CC}">
              <c16:uniqueId val="{00000001-CC1D-4C9C-9EAF-61AE43F958DC}"/>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Costs'!$D$19</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500000"/>
      </c:valAx>
      <c:valAx>
        <c:axId val="730388096"/>
        <c:scaling>
          <c:orientation val="minMax"/>
        </c:scaling>
        <c:delete val="0"/>
        <c:axPos val="l"/>
        <c:title>
          <c:tx>
            <c:strRef>
              <c:f>'Normalized Transmission Costs'!$F$19</c:f>
              <c:strCache>
                <c:ptCount val="1"/>
                <c:pt idx="0">
                  <c:v>Total Variable OPEX ($ 2020 CAD/ t H2*km)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scatterChart>
        <c:scatterStyle val="lineMarker"/>
        <c:varyColors val="0"/>
        <c:ser>
          <c:idx val="0"/>
          <c:order val="0"/>
          <c:tx>
            <c:strRef>
              <c:f>'Normalized Transmission Costs'!$A$35:$G$35</c:f>
              <c:strCache>
                <c:ptCount val="1"/>
                <c:pt idx="0">
                  <c:v>Distribution Cost-Capacity Fixed OPEX Estimation</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723140122533534"/>
                  <c:y val="-0.65074058638847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trendlineLbl>
          </c:trendline>
          <c:xVal>
            <c:numRef>
              <c:f>'Normalized Transmission Costs'!$D$37:$D$49</c:f>
              <c:numCache>
                <c:formatCode>0</c:formatCode>
                <c:ptCount val="13"/>
                <c:pt idx="0">
                  <c:v>53979.525993092684</c:v>
                </c:pt>
                <c:pt idx="1">
                  <c:v>94298.351182634389</c:v>
                </c:pt>
                <c:pt idx="2">
                  <c:v>148750.08214542575</c:v>
                </c:pt>
                <c:pt idx="3">
                  <c:v>218687.61505239466</c:v>
                </c:pt>
                <c:pt idx="4">
                  <c:v>305354.31099961052</c:v>
                </c:pt>
                <c:pt idx="5">
                  <c:v>409907.02551004698</c:v>
                </c:pt>
                <c:pt idx="6">
                  <c:v>533432.02860761073</c:v>
                </c:pt>
                <c:pt idx="7">
                  <c:v>676956.5601162276</c:v>
                </c:pt>
                <c:pt idx="8">
                  <c:v>841457.53429669188</c:v>
                </c:pt>
                <c:pt idx="9">
                  <c:v>1027868.2920648124</c:v>
                </c:pt>
                <c:pt idx="10">
                  <c:v>1237083.9645204917</c:v>
                </c:pt>
                <c:pt idx="11">
                  <c:v>1469965.8178646616</c:v>
                </c:pt>
                <c:pt idx="12">
                  <c:v>1727344.8317789666</c:v>
                </c:pt>
              </c:numCache>
            </c:numRef>
          </c:xVal>
          <c:yVal>
            <c:numRef>
              <c:f>'Normalized Transmission Costs'!$I$37:$I$49</c:f>
              <c:numCache>
                <c:formatCode>_("$"* #,##0.00_);_("$"* \(#,##0.00\);_("$"* "-"??_);_(@_)</c:formatCode>
                <c:ptCount val="13"/>
                <c:pt idx="0">
                  <c:v>0.7435853223749368</c:v>
                </c:pt>
                <c:pt idx="1">
                  <c:v>0.50139792637599068</c:v>
                </c:pt>
                <c:pt idx="2">
                  <c:v>0.36817110543217568</c:v>
                </c:pt>
                <c:pt idx="3">
                  <c:v>0.28632162474937528</c:v>
                </c:pt>
                <c:pt idx="4">
                  <c:v>0.23203345079990267</c:v>
                </c:pt>
                <c:pt idx="5">
                  <c:v>0.1940949716679074</c:v>
                </c:pt>
                <c:pt idx="6">
                  <c:v>0.16634373693531418</c:v>
                </c:pt>
                <c:pt idx="7">
                  <c:v>0.1453495769813507</c:v>
                </c:pt>
                <c:pt idx="8">
                  <c:v>0.12903976475342738</c:v>
                </c:pt>
                <c:pt idx="9">
                  <c:v>0.11609406302390782</c:v>
                </c:pt>
                <c:pt idx="10">
                  <c:v>0.10563713716321015</c:v>
                </c:pt>
                <c:pt idx="11">
                  <c:v>9.7068926106283371E-2</c:v>
                </c:pt>
                <c:pt idx="12">
                  <c:v>8.996634897159328E-2</c:v>
                </c:pt>
              </c:numCache>
            </c:numRef>
          </c:yVal>
          <c:smooth val="0"/>
          <c:extLst>
            <c:ext xmlns:c16="http://schemas.microsoft.com/office/drawing/2014/chart" uri="{C3380CC4-5D6E-409C-BE32-E72D297353CC}">
              <c16:uniqueId val="{00000001-1432-4DB4-B9A3-19BB4B196750}"/>
            </c:ext>
          </c:extLst>
        </c:ser>
        <c:dLbls>
          <c:showLegendKey val="0"/>
          <c:showVal val="0"/>
          <c:showCatName val="0"/>
          <c:showSerName val="0"/>
          <c:showPercent val="0"/>
          <c:showBubbleSize val="0"/>
        </c:dLbls>
        <c:axId val="730387616"/>
        <c:axId val="730388096"/>
      </c:scatterChart>
      <c:valAx>
        <c:axId val="730387616"/>
        <c:scaling>
          <c:orientation val="minMax"/>
        </c:scaling>
        <c:delete val="0"/>
        <c:axPos val="b"/>
        <c:title>
          <c:tx>
            <c:strRef>
              <c:f>'Normalized Transmission Costs'!$D$36</c:f>
              <c:strCache>
                <c:ptCount val="1"/>
                <c:pt idx="0">
                  <c:v>Annual Capacity (t H2 / year)</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8096"/>
        <c:crosses val="autoZero"/>
        <c:crossBetween val="midCat"/>
        <c:majorUnit val="400000"/>
      </c:valAx>
      <c:valAx>
        <c:axId val="730388096"/>
        <c:scaling>
          <c:orientation val="minMax"/>
          <c:min val="0"/>
        </c:scaling>
        <c:delete val="0"/>
        <c:axPos val="l"/>
        <c:title>
          <c:tx>
            <c:strRef>
              <c:f>'Normalized Transmission Costs'!$I$36</c:f>
              <c:strCache>
                <c:ptCount val="1"/>
                <c:pt idx="0">
                  <c:v>Total Fixed OPEX ($ 2020 CAD per year / km*  t H2 per year capacity)</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quot;$&quot;#,##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3038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57150</xdr:colOff>
      <xdr:row>50</xdr:row>
      <xdr:rowOff>76200</xdr:rowOff>
    </xdr:from>
    <xdr:to>
      <xdr:col>2</xdr:col>
      <xdr:colOff>1524000</xdr:colOff>
      <xdr:row>72</xdr:row>
      <xdr:rowOff>38100</xdr:rowOff>
    </xdr:to>
    <xdr:graphicFrame macro="">
      <xdr:nvGraphicFramePr>
        <xdr:cNvPr id="2" name="Chart 1">
          <a:extLst>
            <a:ext uri="{FF2B5EF4-FFF2-40B4-BE49-F238E27FC236}">
              <a16:creationId xmlns:a16="http://schemas.microsoft.com/office/drawing/2014/main" id="{25D04367-96ED-9933-C597-A255F554B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1704975</xdr:colOff>
      <xdr:row>50</xdr:row>
      <xdr:rowOff>171450</xdr:rowOff>
    </xdr:from>
    <xdr:to>
      <xdr:col>4</xdr:col>
      <xdr:colOff>3371850</xdr:colOff>
      <xdr:row>72</xdr:row>
      <xdr:rowOff>57150</xdr:rowOff>
    </xdr:to>
    <xdr:graphicFrame macro="">
      <xdr:nvGraphicFramePr>
        <xdr:cNvPr id="3" name="Chart 2">
          <a:extLst>
            <a:ext uri="{FF2B5EF4-FFF2-40B4-BE49-F238E27FC236}">
              <a16:creationId xmlns:a16="http://schemas.microsoft.com/office/drawing/2014/main" id="{EF87FD56-3092-4241-8C8A-B5EA89C44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3496541</xdr:colOff>
      <xdr:row>50</xdr:row>
      <xdr:rowOff>162791</xdr:rowOff>
    </xdr:from>
    <xdr:to>
      <xdr:col>5</xdr:col>
      <xdr:colOff>4945207</xdr:colOff>
      <xdr:row>72</xdr:row>
      <xdr:rowOff>49357</xdr:rowOff>
    </xdr:to>
    <xdr:graphicFrame macro="">
      <xdr:nvGraphicFramePr>
        <xdr:cNvPr id="4" name="Chart 3">
          <a:extLst>
            <a:ext uri="{FF2B5EF4-FFF2-40B4-BE49-F238E27FC236}">
              <a16:creationId xmlns:a16="http://schemas.microsoft.com/office/drawing/2014/main" id="{337E0ADB-8D9C-47F5-9A4B-BCE0E4A3E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1695450</xdr:colOff>
      <xdr:row>73</xdr:row>
      <xdr:rowOff>9525</xdr:rowOff>
    </xdr:from>
    <xdr:to>
      <xdr:col>4</xdr:col>
      <xdr:colOff>3362325</xdr:colOff>
      <xdr:row>94</xdr:row>
      <xdr:rowOff>76200</xdr:rowOff>
    </xdr:to>
    <xdr:graphicFrame macro="">
      <xdr:nvGraphicFramePr>
        <xdr:cNvPr id="5" name="Chart 4">
          <a:extLst>
            <a:ext uri="{FF2B5EF4-FFF2-40B4-BE49-F238E27FC236}">
              <a16:creationId xmlns:a16="http://schemas.microsoft.com/office/drawing/2014/main" id="{3926EC1A-4DA3-459C-96FB-3DE35F1FD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3543300</xdr:colOff>
      <xdr:row>73</xdr:row>
      <xdr:rowOff>66675</xdr:rowOff>
    </xdr:from>
    <xdr:to>
      <xdr:col>5</xdr:col>
      <xdr:colOff>4991966</xdr:colOff>
      <xdr:row>94</xdr:row>
      <xdr:rowOff>134216</xdr:rowOff>
    </xdr:to>
    <xdr:graphicFrame macro="">
      <xdr:nvGraphicFramePr>
        <xdr:cNvPr id="6" name="Chart 5">
          <a:extLst>
            <a:ext uri="{FF2B5EF4-FFF2-40B4-BE49-F238E27FC236}">
              <a16:creationId xmlns:a16="http://schemas.microsoft.com/office/drawing/2014/main" id="{955E192B-36CA-4CBB-A629-D2E3265D0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opLeftCell="B6" workbookViewId="0">
      <selection activeCell="G12" sqref="G12"/>
    </sheetView>
  </sheetViews>
  <sheetFormatPr defaultRowHeight="14.25"/>
  <cols>
    <col min="1" max="1" width="26.125" bestFit="1" customWidth="1"/>
    <col min="2" max="2" width="28" customWidth="1"/>
    <col min="3" max="3" width="49.125" bestFit="1" customWidth="1"/>
    <col min="4" max="4" width="31.75" bestFit="1" customWidth="1"/>
    <col min="5" max="5" width="37.75" bestFit="1" customWidth="1"/>
    <col min="6" max="6" width="20" customWidth="1"/>
    <col min="7" max="7" width="46.125" bestFit="1" customWidth="1"/>
    <col min="8" max="8" width="28" customWidth="1"/>
  </cols>
  <sheetData>
    <row r="1" spans="1:8" ht="18">
      <c r="A1" s="55" t="s">
        <v>285</v>
      </c>
      <c r="B1" s="55"/>
      <c r="C1" s="55"/>
      <c r="D1" s="55"/>
      <c r="E1" s="55"/>
      <c r="F1" s="55"/>
      <c r="G1" s="55"/>
      <c r="H1" s="55"/>
    </row>
    <row r="3" spans="1:8" ht="15">
      <c r="A3" s="6" t="s">
        <v>0</v>
      </c>
      <c r="B3" s="6" t="s">
        <v>290</v>
      </c>
    </row>
    <row r="4" spans="1:8" ht="313.5">
      <c r="A4" s="17" t="s">
        <v>289</v>
      </c>
      <c r="B4" s="17" t="s">
        <v>288</v>
      </c>
      <c r="D4" s="57" t="s">
        <v>1052</v>
      </c>
      <c r="E4" s="57"/>
      <c r="F4" s="57"/>
      <c r="G4" s="57"/>
    </row>
    <row r="5" spans="1:8" ht="15">
      <c r="A5" s="6" t="s">
        <v>1</v>
      </c>
      <c r="B5" s="6" t="s">
        <v>2</v>
      </c>
      <c r="D5" s="3" t="s">
        <v>12</v>
      </c>
      <c r="E5" s="3" t="s">
        <v>121</v>
      </c>
      <c r="F5" s="3" t="s">
        <v>89</v>
      </c>
      <c r="G5" s="3" t="s">
        <v>266</v>
      </c>
    </row>
    <row r="6" spans="1:8" ht="85.5">
      <c r="A6" s="4" t="s">
        <v>3</v>
      </c>
      <c r="B6" s="17" t="s">
        <v>284</v>
      </c>
      <c r="D6" s="4"/>
      <c r="E6" s="4"/>
      <c r="F6" s="4"/>
      <c r="G6" s="4"/>
    </row>
    <row r="7" spans="1:8" ht="71.25">
      <c r="A7" s="5" t="s">
        <v>274</v>
      </c>
      <c r="B7" s="17" t="s">
        <v>278</v>
      </c>
      <c r="D7" s="4"/>
      <c r="E7" s="4"/>
      <c r="F7" s="4"/>
      <c r="G7" s="4"/>
    </row>
    <row r="8" spans="1:8" ht="57">
      <c r="A8" s="5" t="s">
        <v>275</v>
      </c>
      <c r="B8" s="17" t="s">
        <v>279</v>
      </c>
      <c r="D8" s="4"/>
      <c r="E8" s="4"/>
      <c r="F8" s="4"/>
      <c r="G8" s="4"/>
    </row>
    <row r="9" spans="1:8" ht="85.5">
      <c r="A9" s="5" t="s">
        <v>286</v>
      </c>
      <c r="B9" s="17" t="s">
        <v>280</v>
      </c>
      <c r="D9" s="4"/>
      <c r="E9" s="4"/>
      <c r="F9" s="4"/>
      <c r="G9" s="4"/>
    </row>
    <row r="10" spans="1:8" ht="71.25">
      <c r="A10" s="5" t="s">
        <v>287</v>
      </c>
      <c r="B10" s="17" t="s">
        <v>281</v>
      </c>
      <c r="D10" s="4"/>
      <c r="E10" s="4"/>
      <c r="F10" s="4"/>
      <c r="G10" s="4"/>
    </row>
    <row r="11" spans="1:8" ht="85.5">
      <c r="A11" s="5" t="s">
        <v>276</v>
      </c>
      <c r="B11" s="17" t="s">
        <v>282</v>
      </c>
      <c r="D11" s="4"/>
      <c r="E11" s="4"/>
      <c r="F11" s="4"/>
      <c r="G11" s="4"/>
    </row>
    <row r="12" spans="1:8" ht="99.75">
      <c r="A12" s="5" t="s">
        <v>277</v>
      </c>
      <c r="B12" s="17" t="s">
        <v>283</v>
      </c>
    </row>
    <row r="14" spans="1:8" ht="15">
      <c r="A14" s="56" t="s">
        <v>291</v>
      </c>
      <c r="B14" s="56"/>
    </row>
    <row r="15" spans="1:8" ht="15">
      <c r="A15" s="20" t="s">
        <v>292</v>
      </c>
      <c r="B15" s="33" t="s">
        <v>293</v>
      </c>
    </row>
    <row r="16" spans="1:8" ht="28.5">
      <c r="A16" s="5" t="s">
        <v>294</v>
      </c>
      <c r="B16" s="17" t="s">
        <v>304</v>
      </c>
    </row>
    <row r="17" spans="1:2" ht="71.25">
      <c r="A17" s="5" t="s">
        <v>295</v>
      </c>
      <c r="B17" s="17" t="s">
        <v>305</v>
      </c>
    </row>
    <row r="18" spans="1:2" ht="28.5">
      <c r="A18" s="5" t="s">
        <v>297</v>
      </c>
      <c r="B18" s="17" t="s">
        <v>306</v>
      </c>
    </row>
    <row r="19" spans="1:2">
      <c r="A19" s="5" t="s">
        <v>296</v>
      </c>
      <c r="B19" s="17" t="s">
        <v>307</v>
      </c>
    </row>
    <row r="20" spans="1:2" ht="28.5">
      <c r="A20" s="5" t="s">
        <v>298</v>
      </c>
      <c r="B20" s="17" t="s">
        <v>308</v>
      </c>
    </row>
    <row r="21" spans="1:2" ht="28.5">
      <c r="A21" s="5" t="s">
        <v>299</v>
      </c>
      <c r="B21" s="17" t="s">
        <v>309</v>
      </c>
    </row>
    <row r="22" spans="1:2" ht="28.5">
      <c r="A22" s="5" t="s">
        <v>300</v>
      </c>
      <c r="B22" s="17" t="s">
        <v>310</v>
      </c>
    </row>
    <row r="23" spans="1:2" ht="28.5">
      <c r="A23" s="5" t="s">
        <v>301</v>
      </c>
      <c r="B23" s="17" t="s">
        <v>311</v>
      </c>
    </row>
    <row r="24" spans="1:2" ht="42.75">
      <c r="A24" s="5" t="s">
        <v>302</v>
      </c>
      <c r="B24" s="17" t="s">
        <v>312</v>
      </c>
    </row>
    <row r="25" spans="1:2" ht="28.5">
      <c r="A25" s="5" t="s">
        <v>303</v>
      </c>
      <c r="B25" s="17" t="s">
        <v>313</v>
      </c>
    </row>
  </sheetData>
  <mergeCells count="3">
    <mergeCell ref="A1:H1"/>
    <mergeCell ref="A14:B14"/>
    <mergeCell ref="D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8"/>
  <sheetViews>
    <sheetView topLeftCell="A63" workbookViewId="0">
      <selection activeCell="L99" sqref="L99"/>
    </sheetView>
  </sheetViews>
  <sheetFormatPr defaultRowHeight="14.25"/>
  <cols>
    <col min="1" max="1" width="17.375" bestFit="1" customWidth="1"/>
    <col min="2" max="2" width="29.125" bestFit="1" customWidth="1"/>
    <col min="3" max="3" width="119.5" bestFit="1" customWidth="1"/>
    <col min="4" max="4" width="34.625" bestFit="1" customWidth="1"/>
    <col min="5" max="5" width="51" bestFit="1" customWidth="1"/>
    <col min="6" max="6" width="8.875" bestFit="1" customWidth="1"/>
    <col min="7" max="7" width="36.125" bestFit="1" customWidth="1"/>
    <col min="8" max="8" width="81.125" bestFit="1" customWidth="1"/>
    <col min="9" max="9" width="29.5" bestFit="1" customWidth="1"/>
    <col min="10" max="10" width="35.75" bestFit="1" customWidth="1"/>
    <col min="11" max="11" width="108.125" bestFit="1" customWidth="1"/>
    <col min="12" max="12" width="244.875" bestFit="1" customWidth="1"/>
    <col min="13" max="13" width="96.75" bestFit="1" customWidth="1"/>
  </cols>
  <sheetData>
    <row r="1" spans="1:13" ht="18">
      <c r="A1" s="58" t="s">
        <v>478</v>
      </c>
      <c r="B1" s="58"/>
      <c r="C1" s="58"/>
      <c r="D1" s="58"/>
      <c r="E1" s="58"/>
      <c r="F1" s="58"/>
      <c r="G1" s="58"/>
      <c r="H1" s="58"/>
      <c r="I1" s="58"/>
      <c r="J1" s="58"/>
      <c r="K1" s="58"/>
      <c r="L1" s="58"/>
      <c r="M1" s="58"/>
    </row>
    <row r="2" spans="1:13" ht="30">
      <c r="A2" s="6" t="s">
        <v>5</v>
      </c>
      <c r="B2" s="6" t="s">
        <v>314</v>
      </c>
      <c r="C2" s="6" t="s">
        <v>315</v>
      </c>
      <c r="D2" s="6" t="s">
        <v>316</v>
      </c>
      <c r="E2" s="6" t="s">
        <v>317</v>
      </c>
      <c r="F2" s="6" t="s">
        <v>614</v>
      </c>
      <c r="G2" s="6" t="s">
        <v>318</v>
      </c>
      <c r="H2" s="6" t="s">
        <v>74</v>
      </c>
      <c r="I2" s="6" t="s">
        <v>6</v>
      </c>
      <c r="J2" s="6" t="s">
        <v>319</v>
      </c>
      <c r="K2" s="6" t="s">
        <v>626</v>
      </c>
      <c r="L2" s="6" t="s">
        <v>7</v>
      </c>
      <c r="M2" s="6" t="s">
        <v>320</v>
      </c>
    </row>
    <row r="3" spans="1:13">
      <c r="A3" s="37" t="s">
        <v>321</v>
      </c>
      <c r="B3" s="37" t="s">
        <v>322</v>
      </c>
      <c r="C3" s="37" t="s">
        <v>8</v>
      </c>
      <c r="D3" s="37" t="s">
        <v>323</v>
      </c>
      <c r="E3" s="37" t="s">
        <v>324</v>
      </c>
      <c r="F3" s="37">
        <v>20</v>
      </c>
      <c r="G3" s="37" t="s">
        <v>325</v>
      </c>
      <c r="H3" s="38">
        <v>50</v>
      </c>
      <c r="I3" s="4" t="s">
        <v>18</v>
      </c>
      <c r="J3" s="4" t="s">
        <v>326</v>
      </c>
      <c r="K3" s="4" t="s">
        <v>327</v>
      </c>
      <c r="L3" s="4" t="s">
        <v>328</v>
      </c>
      <c r="M3" s="4" t="s">
        <v>32</v>
      </c>
    </row>
    <row r="4" spans="1:13">
      <c r="A4" s="37" t="s">
        <v>329</v>
      </c>
      <c r="B4" s="37" t="s">
        <v>322</v>
      </c>
      <c r="C4" s="37" t="s">
        <v>8</v>
      </c>
      <c r="D4" s="37" t="s">
        <v>323</v>
      </c>
      <c r="E4" s="37" t="s">
        <v>330</v>
      </c>
      <c r="F4" s="37">
        <v>17</v>
      </c>
      <c r="G4" s="37" t="s">
        <v>331</v>
      </c>
      <c r="H4" s="38">
        <v>1.1000000000000001</v>
      </c>
      <c r="I4" s="4" t="s">
        <v>332</v>
      </c>
      <c r="J4" s="4" t="s">
        <v>333</v>
      </c>
      <c r="K4" s="4" t="s">
        <v>334</v>
      </c>
      <c r="L4" s="4" t="s">
        <v>335</v>
      </c>
      <c r="M4" s="4" t="s">
        <v>32</v>
      </c>
    </row>
    <row r="5" spans="1:13">
      <c r="A5" s="37" t="s">
        <v>336</v>
      </c>
      <c r="B5" s="37" t="s">
        <v>322</v>
      </c>
      <c r="C5" s="37" t="s">
        <v>8</v>
      </c>
      <c r="D5" s="37" t="s">
        <v>323</v>
      </c>
      <c r="E5" s="37" t="s">
        <v>330</v>
      </c>
      <c r="F5" s="37">
        <v>18</v>
      </c>
      <c r="G5" s="37" t="s">
        <v>337</v>
      </c>
      <c r="H5" s="38">
        <v>0.4</v>
      </c>
      <c r="I5" s="4" t="s">
        <v>9</v>
      </c>
      <c r="J5" s="4" t="s">
        <v>338</v>
      </c>
      <c r="K5" s="4" t="s">
        <v>339</v>
      </c>
      <c r="L5" s="4" t="s">
        <v>340</v>
      </c>
      <c r="M5" s="4" t="s">
        <v>32</v>
      </c>
    </row>
    <row r="6" spans="1:13">
      <c r="A6" s="37" t="s">
        <v>341</v>
      </c>
      <c r="B6" s="37" t="s">
        <v>322</v>
      </c>
      <c r="C6" s="37" t="s">
        <v>8</v>
      </c>
      <c r="D6" s="37" t="s">
        <v>323</v>
      </c>
      <c r="E6" s="37" t="s">
        <v>330</v>
      </c>
      <c r="F6" s="37">
        <v>18</v>
      </c>
      <c r="G6" s="37" t="s">
        <v>342</v>
      </c>
      <c r="H6" s="38">
        <v>0.05</v>
      </c>
      <c r="I6" s="4" t="s">
        <v>9</v>
      </c>
      <c r="J6" s="4" t="s">
        <v>343</v>
      </c>
      <c r="K6" s="4" t="s">
        <v>344</v>
      </c>
      <c r="L6" s="4" t="s">
        <v>345</v>
      </c>
      <c r="M6" s="4" t="s">
        <v>32</v>
      </c>
    </row>
    <row r="7" spans="1:13">
      <c r="A7" s="37" t="s">
        <v>346</v>
      </c>
      <c r="B7" s="37" t="s">
        <v>322</v>
      </c>
      <c r="C7" s="37" t="s">
        <v>8</v>
      </c>
      <c r="D7" s="37" t="s">
        <v>323</v>
      </c>
      <c r="E7" s="37" t="s">
        <v>330</v>
      </c>
      <c r="F7" s="37">
        <v>18</v>
      </c>
      <c r="G7" s="37" t="s">
        <v>342</v>
      </c>
      <c r="H7" s="38">
        <v>0.1</v>
      </c>
      <c r="I7" s="4" t="s">
        <v>9</v>
      </c>
      <c r="J7" s="4" t="s">
        <v>347</v>
      </c>
      <c r="K7" s="4" t="s">
        <v>348</v>
      </c>
      <c r="L7" s="4" t="s">
        <v>349</v>
      </c>
      <c r="M7" s="4" t="s">
        <v>32</v>
      </c>
    </row>
    <row r="8" spans="1:13">
      <c r="A8" s="37" t="s">
        <v>350</v>
      </c>
      <c r="B8" s="37" t="s">
        <v>322</v>
      </c>
      <c r="C8" s="37" t="s">
        <v>8</v>
      </c>
      <c r="D8" s="37" t="s">
        <v>323</v>
      </c>
      <c r="E8" s="37" t="s">
        <v>330</v>
      </c>
      <c r="F8" s="37">
        <v>18</v>
      </c>
      <c r="G8" s="37" t="s">
        <v>342</v>
      </c>
      <c r="H8" s="38">
        <v>0.1</v>
      </c>
      <c r="I8" s="4" t="s">
        <v>9</v>
      </c>
      <c r="J8" s="4" t="s">
        <v>351</v>
      </c>
      <c r="K8" s="4" t="s">
        <v>352</v>
      </c>
      <c r="L8" s="4" t="s">
        <v>353</v>
      </c>
      <c r="M8" s="4" t="s">
        <v>32</v>
      </c>
    </row>
    <row r="9" spans="1:13">
      <c r="A9" s="37" t="s">
        <v>354</v>
      </c>
      <c r="B9" s="37" t="s">
        <v>322</v>
      </c>
      <c r="C9" s="37" t="s">
        <v>8</v>
      </c>
      <c r="D9" s="37" t="s">
        <v>323</v>
      </c>
      <c r="E9" s="37" t="s">
        <v>330</v>
      </c>
      <c r="F9" s="37">
        <v>18</v>
      </c>
      <c r="G9" s="37" t="s">
        <v>342</v>
      </c>
      <c r="H9" s="38">
        <v>0.03</v>
      </c>
      <c r="I9" s="4" t="s">
        <v>9</v>
      </c>
      <c r="J9" s="4" t="s">
        <v>355</v>
      </c>
      <c r="K9" s="4" t="s">
        <v>356</v>
      </c>
      <c r="L9" s="4" t="s">
        <v>357</v>
      </c>
      <c r="M9" s="4" t="s">
        <v>32</v>
      </c>
    </row>
    <row r="10" spans="1:13">
      <c r="A10" s="37" t="s">
        <v>358</v>
      </c>
      <c r="B10" s="37" t="s">
        <v>322</v>
      </c>
      <c r="C10" s="37" t="s">
        <v>8</v>
      </c>
      <c r="D10" s="37" t="s">
        <v>323</v>
      </c>
      <c r="E10" s="37" t="s">
        <v>330</v>
      </c>
      <c r="F10" s="37">
        <v>17</v>
      </c>
      <c r="G10" s="37" t="s">
        <v>359</v>
      </c>
      <c r="H10" s="38" t="s">
        <v>360</v>
      </c>
      <c r="I10" s="4" t="s">
        <v>361</v>
      </c>
      <c r="J10" s="4" t="s">
        <v>362</v>
      </c>
      <c r="K10" s="4" t="s">
        <v>363</v>
      </c>
      <c r="L10" s="4" t="s">
        <v>617</v>
      </c>
      <c r="M10" s="4" t="s">
        <v>32</v>
      </c>
    </row>
    <row r="11" spans="1:13">
      <c r="A11" s="38" t="s">
        <v>364</v>
      </c>
      <c r="B11" s="38" t="s">
        <v>322</v>
      </c>
      <c r="C11" s="38" t="s">
        <v>8</v>
      </c>
      <c r="D11" s="38" t="s">
        <v>323</v>
      </c>
      <c r="E11" s="38" t="s">
        <v>330</v>
      </c>
      <c r="F11" s="38">
        <v>17</v>
      </c>
      <c r="G11" s="38" t="s">
        <v>359</v>
      </c>
      <c r="H11" s="38" t="s">
        <v>365</v>
      </c>
      <c r="I11" s="4" t="s">
        <v>361</v>
      </c>
      <c r="J11" s="4" t="s">
        <v>366</v>
      </c>
      <c r="K11" s="4" t="s">
        <v>367</v>
      </c>
      <c r="L11" s="4" t="s">
        <v>616</v>
      </c>
      <c r="M11" s="4" t="s">
        <v>32</v>
      </c>
    </row>
    <row r="12" spans="1:13">
      <c r="A12" s="38" t="s">
        <v>368</v>
      </c>
      <c r="B12" s="38" t="s">
        <v>322</v>
      </c>
      <c r="C12" s="38" t="s">
        <v>8</v>
      </c>
      <c r="D12" s="38" t="s">
        <v>323</v>
      </c>
      <c r="E12" s="38" t="s">
        <v>330</v>
      </c>
      <c r="F12" s="38">
        <v>17</v>
      </c>
      <c r="G12" s="38" t="s">
        <v>359</v>
      </c>
      <c r="H12" s="38" t="s">
        <v>369</v>
      </c>
      <c r="I12" s="4" t="s">
        <v>361</v>
      </c>
      <c r="J12" s="4" t="s">
        <v>370</v>
      </c>
      <c r="K12" s="4" t="s">
        <v>371</v>
      </c>
      <c r="L12" s="4" t="s">
        <v>372</v>
      </c>
      <c r="M12" s="4" t="s">
        <v>32</v>
      </c>
    </row>
    <row r="13" spans="1:13">
      <c r="A13" s="38" t="s">
        <v>373</v>
      </c>
      <c r="B13" s="38" t="s">
        <v>322</v>
      </c>
      <c r="C13" s="38" t="s">
        <v>8</v>
      </c>
      <c r="D13" s="38" t="s">
        <v>323</v>
      </c>
      <c r="E13" s="38" t="s">
        <v>330</v>
      </c>
      <c r="F13" s="38">
        <v>17</v>
      </c>
      <c r="G13" s="38" t="s">
        <v>359</v>
      </c>
      <c r="H13" s="38" t="s">
        <v>374</v>
      </c>
      <c r="I13" s="4" t="s">
        <v>361</v>
      </c>
      <c r="J13" s="4" t="s">
        <v>375</v>
      </c>
      <c r="K13" s="4" t="s">
        <v>376</v>
      </c>
      <c r="L13" s="4" t="s">
        <v>377</v>
      </c>
      <c r="M13" s="4" t="s">
        <v>32</v>
      </c>
    </row>
    <row r="14" spans="1:13">
      <c r="A14" s="38" t="s">
        <v>378</v>
      </c>
      <c r="B14" s="38" t="s">
        <v>322</v>
      </c>
      <c r="C14" s="38" t="s">
        <v>8</v>
      </c>
      <c r="D14" s="38" t="s">
        <v>323</v>
      </c>
      <c r="E14" s="38" t="s">
        <v>330</v>
      </c>
      <c r="F14" s="38">
        <v>18</v>
      </c>
      <c r="G14" s="38" t="s">
        <v>337</v>
      </c>
      <c r="H14" s="38" t="s">
        <v>379</v>
      </c>
      <c r="I14" s="4" t="s">
        <v>361</v>
      </c>
      <c r="J14" s="4" t="s">
        <v>380</v>
      </c>
      <c r="K14" s="4" t="s">
        <v>381</v>
      </c>
      <c r="L14" s="4" t="s">
        <v>382</v>
      </c>
      <c r="M14" s="4" t="s">
        <v>32</v>
      </c>
    </row>
    <row r="15" spans="1:13">
      <c r="A15" s="38" t="s">
        <v>383</v>
      </c>
      <c r="B15" s="38" t="s">
        <v>322</v>
      </c>
      <c r="C15" s="38" t="s">
        <v>8</v>
      </c>
      <c r="D15" s="38" t="s">
        <v>323</v>
      </c>
      <c r="E15" s="38" t="s">
        <v>384</v>
      </c>
      <c r="F15" s="38">
        <v>18</v>
      </c>
      <c r="G15" s="38" t="s">
        <v>385</v>
      </c>
      <c r="H15" s="38" t="s">
        <v>386</v>
      </c>
      <c r="I15" s="4" t="s">
        <v>387</v>
      </c>
      <c r="J15" s="4" t="s">
        <v>388</v>
      </c>
      <c r="K15" s="4" t="s">
        <v>389</v>
      </c>
      <c r="L15" s="4" t="s">
        <v>390</v>
      </c>
      <c r="M15" s="4" t="s">
        <v>32</v>
      </c>
    </row>
    <row r="16" spans="1:13">
      <c r="A16" s="38" t="s">
        <v>391</v>
      </c>
      <c r="B16" s="38" t="s">
        <v>322</v>
      </c>
      <c r="C16" s="38" t="s">
        <v>8</v>
      </c>
      <c r="D16" s="38" t="s">
        <v>323</v>
      </c>
      <c r="E16" s="38" t="s">
        <v>384</v>
      </c>
      <c r="F16" s="38">
        <v>18</v>
      </c>
      <c r="G16" s="38" t="s">
        <v>392</v>
      </c>
      <c r="H16" s="38" t="s">
        <v>393</v>
      </c>
      <c r="I16" s="4" t="s">
        <v>394</v>
      </c>
      <c r="J16" s="4" t="s">
        <v>395</v>
      </c>
      <c r="K16" s="4" t="s">
        <v>396</v>
      </c>
      <c r="L16" s="4" t="s">
        <v>397</v>
      </c>
      <c r="M16" s="4" t="s">
        <v>32</v>
      </c>
    </row>
    <row r="17" spans="1:13">
      <c r="A17" s="38" t="s">
        <v>398</v>
      </c>
      <c r="B17" s="38" t="s">
        <v>322</v>
      </c>
      <c r="C17" s="38" t="s">
        <v>8</v>
      </c>
      <c r="D17" s="38" t="s">
        <v>323</v>
      </c>
      <c r="E17" s="38" t="s">
        <v>384</v>
      </c>
      <c r="F17" s="38">
        <v>18</v>
      </c>
      <c r="G17" s="38" t="s">
        <v>399</v>
      </c>
      <c r="H17" s="38" t="s">
        <v>400</v>
      </c>
      <c r="I17" s="4" t="s">
        <v>401</v>
      </c>
      <c r="J17" s="4" t="s">
        <v>402</v>
      </c>
      <c r="K17" s="4" t="s">
        <v>403</v>
      </c>
      <c r="L17" s="4" t="s">
        <v>618</v>
      </c>
      <c r="M17" s="4" t="s">
        <v>32</v>
      </c>
    </row>
    <row r="18" spans="1:13">
      <c r="A18" s="38" t="s">
        <v>404</v>
      </c>
      <c r="B18" s="38" t="s">
        <v>322</v>
      </c>
      <c r="C18" s="38" t="s">
        <v>8</v>
      </c>
      <c r="D18" s="38" t="s">
        <v>323</v>
      </c>
      <c r="E18" s="38" t="s">
        <v>384</v>
      </c>
      <c r="F18" s="38">
        <v>18</v>
      </c>
      <c r="G18" s="38" t="s">
        <v>405</v>
      </c>
      <c r="H18" s="38">
        <v>0.5</v>
      </c>
      <c r="I18" s="4" t="s">
        <v>406</v>
      </c>
      <c r="J18" s="4" t="s">
        <v>407</v>
      </c>
      <c r="K18" s="4" t="s">
        <v>408</v>
      </c>
      <c r="L18" s="4" t="s">
        <v>409</v>
      </c>
      <c r="M18" s="4" t="s">
        <v>32</v>
      </c>
    </row>
    <row r="19" spans="1:13">
      <c r="A19" s="38" t="s">
        <v>410</v>
      </c>
      <c r="B19" s="38" t="s">
        <v>322</v>
      </c>
      <c r="C19" s="38" t="s">
        <v>8</v>
      </c>
      <c r="D19" s="38" t="s">
        <v>323</v>
      </c>
      <c r="E19" s="38" t="s">
        <v>384</v>
      </c>
      <c r="F19" s="38">
        <v>18</v>
      </c>
      <c r="G19" s="38" t="s">
        <v>405</v>
      </c>
      <c r="H19" s="38" t="s">
        <v>411</v>
      </c>
      <c r="I19" s="4" t="s">
        <v>394</v>
      </c>
      <c r="J19" s="4" t="s">
        <v>412</v>
      </c>
      <c r="K19" s="4" t="s">
        <v>413</v>
      </c>
      <c r="L19" s="4" t="s">
        <v>414</v>
      </c>
      <c r="M19" s="4" t="s">
        <v>32</v>
      </c>
    </row>
    <row r="20" spans="1:13">
      <c r="A20" s="38" t="s">
        <v>415</v>
      </c>
      <c r="B20" s="38" t="s">
        <v>322</v>
      </c>
      <c r="C20" s="38" t="s">
        <v>8</v>
      </c>
      <c r="D20" s="38" t="s">
        <v>323</v>
      </c>
      <c r="E20" s="38" t="s">
        <v>384</v>
      </c>
      <c r="F20" s="38" t="s">
        <v>416</v>
      </c>
      <c r="G20" s="38" t="s">
        <v>417</v>
      </c>
      <c r="H20" s="38">
        <v>0.01</v>
      </c>
      <c r="I20" s="4" t="s">
        <v>418</v>
      </c>
      <c r="J20" s="4" t="s">
        <v>419</v>
      </c>
      <c r="K20" s="4" t="s">
        <v>420</v>
      </c>
      <c r="L20" s="4" t="s">
        <v>421</v>
      </c>
      <c r="M20" s="4" t="s">
        <v>32</v>
      </c>
    </row>
    <row r="21" spans="1:13">
      <c r="A21" s="38" t="s">
        <v>422</v>
      </c>
      <c r="B21" s="38" t="s">
        <v>322</v>
      </c>
      <c r="C21" s="38" t="s">
        <v>8</v>
      </c>
      <c r="D21" s="38" t="s">
        <v>323</v>
      </c>
      <c r="E21" s="38" t="s">
        <v>384</v>
      </c>
      <c r="F21" s="38" t="s">
        <v>416</v>
      </c>
      <c r="G21" s="38" t="s">
        <v>417</v>
      </c>
      <c r="H21" s="38">
        <v>0.01</v>
      </c>
      <c r="I21" s="4" t="s">
        <v>418</v>
      </c>
      <c r="J21" s="4" t="s">
        <v>423</v>
      </c>
      <c r="K21" s="4" t="s">
        <v>424</v>
      </c>
      <c r="L21" s="4" t="s">
        <v>421</v>
      </c>
      <c r="M21" s="4" t="s">
        <v>32</v>
      </c>
    </row>
    <row r="22" spans="1:13">
      <c r="A22" s="38" t="s">
        <v>425</v>
      </c>
      <c r="B22" s="38" t="s">
        <v>322</v>
      </c>
      <c r="C22" s="38" t="s">
        <v>8</v>
      </c>
      <c r="D22" s="38" t="s">
        <v>323</v>
      </c>
      <c r="E22" s="38" t="s">
        <v>384</v>
      </c>
      <c r="F22" s="38" t="s">
        <v>416</v>
      </c>
      <c r="G22" s="38" t="s">
        <v>417</v>
      </c>
      <c r="H22" s="38">
        <v>1E-3</v>
      </c>
      <c r="I22" s="4" t="s">
        <v>418</v>
      </c>
      <c r="J22" s="4" t="s">
        <v>426</v>
      </c>
      <c r="K22" s="4" t="s">
        <v>427</v>
      </c>
      <c r="L22" s="4" t="s">
        <v>428</v>
      </c>
      <c r="M22" s="4" t="s">
        <v>32</v>
      </c>
    </row>
    <row r="23" spans="1:13">
      <c r="A23" s="38" t="s">
        <v>429</v>
      </c>
      <c r="B23" s="38" t="s">
        <v>322</v>
      </c>
      <c r="C23" s="38" t="s">
        <v>8</v>
      </c>
      <c r="D23" s="38" t="s">
        <v>323</v>
      </c>
      <c r="E23" s="38" t="s">
        <v>384</v>
      </c>
      <c r="F23" s="38" t="s">
        <v>416</v>
      </c>
      <c r="G23" s="38" t="s">
        <v>417</v>
      </c>
      <c r="H23" s="38">
        <v>5.0000000000000001E-3</v>
      </c>
      <c r="I23" s="4" t="s">
        <v>418</v>
      </c>
      <c r="J23" s="4" t="s">
        <v>430</v>
      </c>
      <c r="K23" s="4" t="s">
        <v>431</v>
      </c>
      <c r="L23" s="4" t="s">
        <v>432</v>
      </c>
      <c r="M23" s="4" t="s">
        <v>32</v>
      </c>
    </row>
    <row r="24" spans="1:13">
      <c r="A24" s="38" t="s">
        <v>433</v>
      </c>
      <c r="B24" s="38" t="s">
        <v>322</v>
      </c>
      <c r="C24" s="38" t="s">
        <v>8</v>
      </c>
      <c r="D24" s="38" t="s">
        <v>323</v>
      </c>
      <c r="E24" s="38" t="s">
        <v>384</v>
      </c>
      <c r="F24" s="38">
        <v>19</v>
      </c>
      <c r="G24" s="38" t="s">
        <v>434</v>
      </c>
      <c r="H24" s="38" t="s">
        <v>435</v>
      </c>
      <c r="I24" s="4" t="s">
        <v>394</v>
      </c>
      <c r="J24" s="4" t="s">
        <v>436</v>
      </c>
      <c r="K24" s="4" t="s">
        <v>437</v>
      </c>
      <c r="L24" s="4" t="s">
        <v>438</v>
      </c>
      <c r="M24" s="4" t="s">
        <v>32</v>
      </c>
    </row>
    <row r="25" spans="1:13">
      <c r="A25" s="38" t="s">
        <v>439</v>
      </c>
      <c r="B25" s="38" t="s">
        <v>322</v>
      </c>
      <c r="C25" s="38" t="s">
        <v>8</v>
      </c>
      <c r="D25" s="38" t="s">
        <v>323</v>
      </c>
      <c r="E25" s="38" t="s">
        <v>324</v>
      </c>
      <c r="F25" s="38">
        <v>20</v>
      </c>
      <c r="G25" s="38" t="s">
        <v>325</v>
      </c>
      <c r="H25" s="38">
        <v>0.75</v>
      </c>
      <c r="I25" s="4" t="s">
        <v>440</v>
      </c>
      <c r="J25" s="4" t="s">
        <v>441</v>
      </c>
      <c r="K25" s="4" t="s">
        <v>442</v>
      </c>
      <c r="L25" s="4" t="s">
        <v>443</v>
      </c>
      <c r="M25" s="4" t="s">
        <v>32</v>
      </c>
    </row>
    <row r="26" spans="1:13">
      <c r="A26" s="38" t="s">
        <v>444</v>
      </c>
      <c r="B26" s="38" t="s">
        <v>322</v>
      </c>
      <c r="C26" s="38" t="s">
        <v>8</v>
      </c>
      <c r="D26" s="38" t="s">
        <v>323</v>
      </c>
      <c r="E26" s="38" t="s">
        <v>324</v>
      </c>
      <c r="F26" s="38">
        <v>20</v>
      </c>
      <c r="G26" s="38" t="s">
        <v>325</v>
      </c>
      <c r="H26" s="38">
        <v>49.6</v>
      </c>
      <c r="I26" s="4" t="s">
        <v>445</v>
      </c>
      <c r="J26" s="4" t="s">
        <v>446</v>
      </c>
      <c r="K26" s="4" t="s">
        <v>447</v>
      </c>
      <c r="L26" s="4" t="s">
        <v>619</v>
      </c>
      <c r="M26" s="4" t="s">
        <v>32</v>
      </c>
    </row>
    <row r="27" spans="1:13">
      <c r="A27" s="38" t="s">
        <v>448</v>
      </c>
      <c r="B27" s="38" t="s">
        <v>449</v>
      </c>
      <c r="C27" s="38" t="s">
        <v>450</v>
      </c>
      <c r="D27" s="38" t="s">
        <v>451</v>
      </c>
      <c r="E27" s="38" t="s">
        <v>452</v>
      </c>
      <c r="F27" s="38" t="s">
        <v>453</v>
      </c>
      <c r="G27" s="38" t="s">
        <v>454</v>
      </c>
      <c r="H27" s="38">
        <v>88.5</v>
      </c>
      <c r="I27" s="4" t="s">
        <v>455</v>
      </c>
      <c r="J27" s="4" t="s">
        <v>456</v>
      </c>
      <c r="K27" s="4" t="s">
        <v>457</v>
      </c>
      <c r="L27" s="4" t="s">
        <v>458</v>
      </c>
      <c r="M27" s="4" t="s">
        <v>459</v>
      </c>
    </row>
    <row r="28" spans="1:13">
      <c r="A28" s="38" t="s">
        <v>460</v>
      </c>
      <c r="B28" s="38" t="s">
        <v>449</v>
      </c>
      <c r="C28" s="38" t="s">
        <v>450</v>
      </c>
      <c r="D28" s="38" t="s">
        <v>451</v>
      </c>
      <c r="E28" s="38" t="s">
        <v>452</v>
      </c>
      <c r="F28" s="38" t="s">
        <v>453</v>
      </c>
      <c r="G28" s="38" t="s">
        <v>454</v>
      </c>
      <c r="H28" s="38">
        <v>103.3</v>
      </c>
      <c r="I28" s="4" t="s">
        <v>455</v>
      </c>
      <c r="J28" s="4" t="s">
        <v>461</v>
      </c>
      <c r="K28" s="4" t="s">
        <v>462</v>
      </c>
      <c r="L28" s="4" t="s">
        <v>463</v>
      </c>
      <c r="M28" s="4" t="s">
        <v>459</v>
      </c>
    </row>
    <row r="29" spans="1:13">
      <c r="A29" s="38" t="s">
        <v>464</v>
      </c>
      <c r="B29" s="38" t="s">
        <v>449</v>
      </c>
      <c r="C29" s="38" t="s">
        <v>450</v>
      </c>
      <c r="D29" s="38" t="s">
        <v>451</v>
      </c>
      <c r="E29" s="38" t="s">
        <v>452</v>
      </c>
      <c r="F29" s="38" t="s">
        <v>453</v>
      </c>
      <c r="G29" s="38" t="s">
        <v>454</v>
      </c>
      <c r="H29" s="38">
        <v>105</v>
      </c>
      <c r="I29" s="4" t="s">
        <v>455</v>
      </c>
      <c r="J29" s="4" t="s">
        <v>465</v>
      </c>
      <c r="K29" s="4" t="s">
        <v>466</v>
      </c>
      <c r="L29" s="4" t="s">
        <v>467</v>
      </c>
      <c r="M29" s="4" t="s">
        <v>459</v>
      </c>
    </row>
    <row r="30" spans="1:13">
      <c r="A30" s="38" t="s">
        <v>468</v>
      </c>
      <c r="B30" s="38" t="s">
        <v>469</v>
      </c>
      <c r="C30" s="38" t="s">
        <v>470</v>
      </c>
      <c r="D30" s="38">
        <v>2019</v>
      </c>
      <c r="E30" s="38" t="s">
        <v>471</v>
      </c>
      <c r="F30" s="38" t="s">
        <v>453</v>
      </c>
      <c r="G30" s="38" t="s">
        <v>472</v>
      </c>
      <c r="H30" s="38">
        <v>0.11</v>
      </c>
      <c r="I30" s="4" t="s">
        <v>473</v>
      </c>
      <c r="J30" s="4" t="s">
        <v>474</v>
      </c>
      <c r="K30" s="4" t="s">
        <v>475</v>
      </c>
      <c r="L30" s="4" t="s">
        <v>476</v>
      </c>
      <c r="M30" s="4" t="s">
        <v>477</v>
      </c>
    </row>
    <row r="31" spans="1:13">
      <c r="A31" s="4" t="s">
        <v>480</v>
      </c>
      <c r="B31" s="4" t="s">
        <v>481</v>
      </c>
      <c r="C31" s="4" t="s">
        <v>482</v>
      </c>
      <c r="D31" s="39">
        <v>2026</v>
      </c>
      <c r="E31" s="4" t="s">
        <v>483</v>
      </c>
      <c r="F31" s="4" t="s">
        <v>484</v>
      </c>
      <c r="G31" s="4" t="s">
        <v>485</v>
      </c>
      <c r="H31" s="4" t="s">
        <v>486</v>
      </c>
      <c r="I31" s="4" t="s">
        <v>90</v>
      </c>
      <c r="J31" s="4" t="s">
        <v>487</v>
      </c>
      <c r="K31" s="4" t="s">
        <v>275</v>
      </c>
      <c r="L31" s="4" t="s">
        <v>623</v>
      </c>
      <c r="M31" s="4"/>
    </row>
    <row r="32" spans="1:13">
      <c r="A32" s="4" t="s">
        <v>488</v>
      </c>
      <c r="B32" s="4" t="s">
        <v>481</v>
      </c>
      <c r="C32" s="4" t="s">
        <v>482</v>
      </c>
      <c r="D32" s="39">
        <v>2026</v>
      </c>
      <c r="E32" s="4" t="s">
        <v>483</v>
      </c>
      <c r="F32" s="4" t="s">
        <v>484</v>
      </c>
      <c r="G32" s="4" t="s">
        <v>485</v>
      </c>
      <c r="H32" s="4">
        <v>483</v>
      </c>
      <c r="I32" s="4" t="s">
        <v>489</v>
      </c>
      <c r="J32" s="4" t="s">
        <v>490</v>
      </c>
      <c r="K32" s="4" t="s">
        <v>615</v>
      </c>
      <c r="L32" s="4" t="s">
        <v>491</v>
      </c>
      <c r="M32" s="4"/>
    </row>
    <row r="33" spans="1:13">
      <c r="A33" s="4" t="s">
        <v>492</v>
      </c>
      <c r="B33" s="4" t="s">
        <v>481</v>
      </c>
      <c r="C33" s="4" t="s">
        <v>482</v>
      </c>
      <c r="D33" s="39">
        <v>2026</v>
      </c>
      <c r="E33" s="4" t="s">
        <v>483</v>
      </c>
      <c r="F33" s="4" t="s">
        <v>484</v>
      </c>
      <c r="G33" s="4" t="s">
        <v>485</v>
      </c>
      <c r="H33" s="4">
        <v>0.72</v>
      </c>
      <c r="I33" s="4" t="s">
        <v>16</v>
      </c>
      <c r="J33" s="4" t="s">
        <v>493</v>
      </c>
      <c r="K33" s="4" t="s">
        <v>615</v>
      </c>
      <c r="L33" s="4" t="s">
        <v>494</v>
      </c>
      <c r="M33" s="4"/>
    </row>
    <row r="34" spans="1:13">
      <c r="A34" s="4" t="s">
        <v>495</v>
      </c>
      <c r="B34" s="4" t="s">
        <v>481</v>
      </c>
      <c r="C34" s="4" t="s">
        <v>482</v>
      </c>
      <c r="D34" s="39">
        <v>2026</v>
      </c>
      <c r="E34" s="4" t="s">
        <v>483</v>
      </c>
      <c r="F34" s="4" t="s">
        <v>484</v>
      </c>
      <c r="G34" s="4" t="s">
        <v>485</v>
      </c>
      <c r="H34" s="4">
        <v>1</v>
      </c>
      <c r="I34" s="4" t="s">
        <v>16</v>
      </c>
      <c r="J34" s="4" t="s">
        <v>496</v>
      </c>
      <c r="K34" s="4" t="s">
        <v>615</v>
      </c>
      <c r="L34" s="4" t="s">
        <v>497</v>
      </c>
      <c r="M34" s="4"/>
    </row>
    <row r="35" spans="1:13">
      <c r="A35" s="4" t="s">
        <v>498</v>
      </c>
      <c r="B35" s="4" t="s">
        <v>481</v>
      </c>
      <c r="C35" s="4" t="s">
        <v>482</v>
      </c>
      <c r="D35" s="39">
        <v>2026</v>
      </c>
      <c r="E35" s="4" t="s">
        <v>483</v>
      </c>
      <c r="F35" s="4" t="s">
        <v>484</v>
      </c>
      <c r="G35" s="4" t="s">
        <v>485</v>
      </c>
      <c r="H35" s="4">
        <v>1</v>
      </c>
      <c r="I35" s="4" t="s">
        <v>16</v>
      </c>
      <c r="J35" s="4" t="s">
        <v>499</v>
      </c>
      <c r="K35" s="4" t="s">
        <v>615</v>
      </c>
      <c r="L35" s="4" t="s">
        <v>500</v>
      </c>
      <c r="M35" s="4"/>
    </row>
    <row r="36" spans="1:13">
      <c r="A36" s="4" t="s">
        <v>501</v>
      </c>
      <c r="B36" s="4" t="s">
        <v>481</v>
      </c>
      <c r="C36" s="4" t="s">
        <v>482</v>
      </c>
      <c r="D36" s="39">
        <v>2026</v>
      </c>
      <c r="E36" s="4" t="s">
        <v>483</v>
      </c>
      <c r="F36" s="4" t="s">
        <v>484</v>
      </c>
      <c r="G36" s="4" t="s">
        <v>485</v>
      </c>
      <c r="H36" s="4">
        <v>1</v>
      </c>
      <c r="I36" s="4" t="s">
        <v>16</v>
      </c>
      <c r="J36" s="4" t="s">
        <v>502</v>
      </c>
      <c r="K36" s="4" t="s">
        <v>615</v>
      </c>
      <c r="L36" s="4" t="s">
        <v>503</v>
      </c>
      <c r="M36" s="4"/>
    </row>
    <row r="37" spans="1:13">
      <c r="A37" s="4" t="s">
        <v>504</v>
      </c>
      <c r="B37" s="4" t="s">
        <v>322</v>
      </c>
      <c r="C37" s="4" t="s">
        <v>8</v>
      </c>
      <c r="D37" s="39" t="s">
        <v>323</v>
      </c>
      <c r="E37" s="4" t="s">
        <v>505</v>
      </c>
      <c r="F37" s="4" t="s">
        <v>506</v>
      </c>
      <c r="G37" s="4" t="s">
        <v>507</v>
      </c>
      <c r="H37" s="4" t="s">
        <v>508</v>
      </c>
      <c r="I37" s="4" t="s">
        <v>509</v>
      </c>
      <c r="J37" s="4" t="s">
        <v>76</v>
      </c>
      <c r="K37" s="4" t="s">
        <v>275</v>
      </c>
      <c r="L37" s="4" t="s">
        <v>510</v>
      </c>
      <c r="M37" s="4" t="s">
        <v>32</v>
      </c>
    </row>
    <row r="38" spans="1:13">
      <c r="A38" s="4" t="s">
        <v>511</v>
      </c>
      <c r="B38" s="4" t="s">
        <v>322</v>
      </c>
      <c r="C38" s="4" t="s">
        <v>8</v>
      </c>
      <c r="D38" s="39" t="s">
        <v>323</v>
      </c>
      <c r="E38" s="4" t="s">
        <v>505</v>
      </c>
      <c r="F38" s="4" t="s">
        <v>506</v>
      </c>
      <c r="G38" s="4" t="s">
        <v>507</v>
      </c>
      <c r="H38" s="4" t="s">
        <v>72</v>
      </c>
      <c r="I38" s="4" t="s">
        <v>90</v>
      </c>
      <c r="J38" s="4" t="s">
        <v>512</v>
      </c>
      <c r="K38" s="4" t="s">
        <v>275</v>
      </c>
      <c r="L38" s="4" t="s">
        <v>513</v>
      </c>
      <c r="M38" s="4" t="s">
        <v>32</v>
      </c>
    </row>
    <row r="39" spans="1:13">
      <c r="A39" s="4" t="s">
        <v>514</v>
      </c>
      <c r="B39" s="4" t="s">
        <v>322</v>
      </c>
      <c r="C39" s="4" t="s">
        <v>8</v>
      </c>
      <c r="D39" s="39" t="s">
        <v>323</v>
      </c>
      <c r="E39" s="4" t="s">
        <v>505</v>
      </c>
      <c r="F39" s="4" t="s">
        <v>506</v>
      </c>
      <c r="G39" s="4" t="s">
        <v>515</v>
      </c>
      <c r="H39" s="4">
        <v>288.70600000000002</v>
      </c>
      <c r="I39" s="4" t="s">
        <v>91</v>
      </c>
      <c r="J39" s="4" t="s">
        <v>516</v>
      </c>
      <c r="K39" s="4" t="s">
        <v>615</v>
      </c>
      <c r="L39" s="4" t="s">
        <v>517</v>
      </c>
      <c r="M39" s="4" t="s">
        <v>32</v>
      </c>
    </row>
    <row r="40" spans="1:13">
      <c r="A40" s="4" t="s">
        <v>518</v>
      </c>
      <c r="B40" s="4" t="s">
        <v>322</v>
      </c>
      <c r="C40" s="4" t="s">
        <v>8</v>
      </c>
      <c r="D40" s="39" t="s">
        <v>323</v>
      </c>
      <c r="E40" s="4" t="s">
        <v>505</v>
      </c>
      <c r="F40" s="4" t="s">
        <v>506</v>
      </c>
      <c r="G40" s="4" t="s">
        <v>515</v>
      </c>
      <c r="H40" s="4">
        <v>101.352</v>
      </c>
      <c r="I40" s="4" t="s">
        <v>519</v>
      </c>
      <c r="J40" s="4" t="s">
        <v>520</v>
      </c>
      <c r="K40" s="4" t="s">
        <v>615</v>
      </c>
      <c r="L40" s="4" t="s">
        <v>521</v>
      </c>
      <c r="M40" s="4" t="s">
        <v>32</v>
      </c>
    </row>
    <row r="41" spans="1:13">
      <c r="A41" s="4" t="s">
        <v>522</v>
      </c>
      <c r="B41" s="4" t="s">
        <v>322</v>
      </c>
      <c r="C41" s="4" t="s">
        <v>8</v>
      </c>
      <c r="D41" s="39" t="s">
        <v>323</v>
      </c>
      <c r="E41" s="4" t="s">
        <v>523</v>
      </c>
      <c r="F41" s="4">
        <v>21</v>
      </c>
      <c r="G41" s="4" t="s">
        <v>10</v>
      </c>
      <c r="H41" s="4">
        <v>70</v>
      </c>
      <c r="I41" s="4" t="s">
        <v>524</v>
      </c>
      <c r="J41" s="4" t="s">
        <v>525</v>
      </c>
      <c r="K41" s="4" t="s">
        <v>615</v>
      </c>
      <c r="L41" s="4" t="s">
        <v>526</v>
      </c>
      <c r="M41" s="4" t="s">
        <v>32</v>
      </c>
    </row>
    <row r="42" spans="1:13">
      <c r="A42" s="4" t="s">
        <v>527</v>
      </c>
      <c r="B42" s="4" t="s">
        <v>528</v>
      </c>
      <c r="C42" s="4" t="s">
        <v>529</v>
      </c>
      <c r="D42" s="39" t="s">
        <v>530</v>
      </c>
      <c r="E42" s="4" t="s">
        <v>531</v>
      </c>
      <c r="F42" s="4" t="s">
        <v>453</v>
      </c>
      <c r="G42" s="4" t="s">
        <v>532</v>
      </c>
      <c r="H42" s="4">
        <v>28</v>
      </c>
      <c r="I42" s="4" t="s">
        <v>524</v>
      </c>
      <c r="J42" s="4" t="s">
        <v>533</v>
      </c>
      <c r="K42" s="4" t="s">
        <v>615</v>
      </c>
      <c r="L42" s="4" t="s">
        <v>534</v>
      </c>
      <c r="M42" s="4"/>
    </row>
    <row r="43" spans="1:13">
      <c r="A43" s="4" t="s">
        <v>535</v>
      </c>
      <c r="B43" s="4" t="s">
        <v>528</v>
      </c>
      <c r="C43" s="4" t="s">
        <v>529</v>
      </c>
      <c r="D43" s="39" t="s">
        <v>530</v>
      </c>
      <c r="E43" s="4" t="s">
        <v>536</v>
      </c>
      <c r="F43" s="4" t="s">
        <v>453</v>
      </c>
      <c r="G43" s="4" t="s">
        <v>128</v>
      </c>
      <c r="H43" s="4">
        <v>2</v>
      </c>
      <c r="I43" s="4" t="s">
        <v>96</v>
      </c>
      <c r="J43" s="4" t="s">
        <v>537</v>
      </c>
      <c r="K43" s="4" t="s">
        <v>615</v>
      </c>
      <c r="L43" s="4" t="s">
        <v>538</v>
      </c>
      <c r="M43" s="4"/>
    </row>
    <row r="44" spans="1:13">
      <c r="A44" s="4" t="s">
        <v>539</v>
      </c>
      <c r="B44" s="4" t="s">
        <v>528</v>
      </c>
      <c r="C44" s="4" t="s">
        <v>529</v>
      </c>
      <c r="D44" s="39" t="s">
        <v>530</v>
      </c>
      <c r="E44" s="4" t="s">
        <v>536</v>
      </c>
      <c r="F44" s="4" t="s">
        <v>453</v>
      </c>
      <c r="G44" s="4" t="s">
        <v>129</v>
      </c>
      <c r="H44" s="4">
        <v>1</v>
      </c>
      <c r="I44" s="4" t="s">
        <v>96</v>
      </c>
      <c r="J44" s="4" t="s">
        <v>540</v>
      </c>
      <c r="K44" s="4" t="s">
        <v>615</v>
      </c>
      <c r="L44" s="4" t="s">
        <v>541</v>
      </c>
      <c r="M44" s="4"/>
    </row>
    <row r="45" spans="1:13">
      <c r="A45" s="4" t="s">
        <v>542</v>
      </c>
      <c r="B45" s="4" t="s">
        <v>481</v>
      </c>
      <c r="C45" s="4" t="s">
        <v>482</v>
      </c>
      <c r="D45" s="39">
        <v>2026</v>
      </c>
      <c r="E45" s="4" t="s">
        <v>483</v>
      </c>
      <c r="F45" s="4" t="s">
        <v>543</v>
      </c>
      <c r="G45" s="4" t="s">
        <v>544</v>
      </c>
      <c r="H45" s="4">
        <v>288.7</v>
      </c>
      <c r="I45" s="4" t="s">
        <v>91</v>
      </c>
      <c r="J45" s="4" t="s">
        <v>545</v>
      </c>
      <c r="K45" s="4" t="s">
        <v>615</v>
      </c>
      <c r="L45" s="4" t="s">
        <v>546</v>
      </c>
      <c r="M45" s="4"/>
    </row>
    <row r="46" spans="1:13">
      <c r="A46" s="4" t="s">
        <v>547</v>
      </c>
      <c r="B46" s="4" t="s">
        <v>481</v>
      </c>
      <c r="C46" s="4" t="s">
        <v>482</v>
      </c>
      <c r="D46" s="39">
        <v>2026</v>
      </c>
      <c r="E46" s="4" t="s">
        <v>483</v>
      </c>
      <c r="F46" s="4" t="s">
        <v>543</v>
      </c>
      <c r="G46" s="4" t="s">
        <v>548</v>
      </c>
      <c r="H46" s="4">
        <v>1.03</v>
      </c>
      <c r="I46" s="4" t="s">
        <v>16</v>
      </c>
      <c r="J46" s="4" t="s">
        <v>84</v>
      </c>
      <c r="K46" s="4" t="s">
        <v>615</v>
      </c>
      <c r="L46" s="4" t="s">
        <v>549</v>
      </c>
      <c r="M46" s="4"/>
    </row>
    <row r="47" spans="1:13">
      <c r="A47" s="4" t="s">
        <v>550</v>
      </c>
      <c r="B47" s="4" t="s">
        <v>322</v>
      </c>
      <c r="C47" s="4" t="s">
        <v>8</v>
      </c>
      <c r="D47" s="39" t="s">
        <v>323</v>
      </c>
      <c r="E47" s="4" t="s">
        <v>551</v>
      </c>
      <c r="F47" s="4" t="s">
        <v>552</v>
      </c>
      <c r="G47" s="4" t="s">
        <v>553</v>
      </c>
      <c r="H47" s="4">
        <v>6.9599999999999995E-2</v>
      </c>
      <c r="I47" s="4" t="s">
        <v>16</v>
      </c>
      <c r="J47" s="4" t="s">
        <v>85</v>
      </c>
      <c r="K47" s="4" t="s">
        <v>615</v>
      </c>
      <c r="L47" s="4" t="s">
        <v>554</v>
      </c>
      <c r="M47" s="4" t="s">
        <v>32</v>
      </c>
    </row>
    <row r="48" spans="1:13">
      <c r="A48" s="4" t="s">
        <v>555</v>
      </c>
      <c r="B48" s="4" t="s">
        <v>481</v>
      </c>
      <c r="C48" s="4" t="s">
        <v>482</v>
      </c>
      <c r="D48" s="39">
        <v>2026</v>
      </c>
      <c r="E48" s="4" t="s">
        <v>483</v>
      </c>
      <c r="F48" s="4" t="s">
        <v>543</v>
      </c>
      <c r="G48" s="4" t="s">
        <v>556</v>
      </c>
      <c r="H48" s="4">
        <v>250</v>
      </c>
      <c r="I48" s="4" t="s">
        <v>97</v>
      </c>
      <c r="J48" s="4" t="s">
        <v>557</v>
      </c>
      <c r="K48" s="4" t="s">
        <v>615</v>
      </c>
      <c r="L48" s="4" t="s">
        <v>558</v>
      </c>
      <c r="M48" s="4"/>
    </row>
    <row r="49" spans="1:13">
      <c r="A49" s="4" t="s">
        <v>559</v>
      </c>
      <c r="B49" s="4" t="s">
        <v>322</v>
      </c>
      <c r="C49" s="4" t="s">
        <v>8</v>
      </c>
      <c r="D49" s="39" t="s">
        <v>323</v>
      </c>
      <c r="E49" s="4" t="s">
        <v>560</v>
      </c>
      <c r="F49" s="4">
        <v>13</v>
      </c>
      <c r="G49" s="4" t="s">
        <v>561</v>
      </c>
      <c r="H49" s="4">
        <v>9.4000000000000004E-3</v>
      </c>
      <c r="I49" s="4" t="s">
        <v>16</v>
      </c>
      <c r="J49" s="4" t="s">
        <v>562</v>
      </c>
      <c r="K49" s="4" t="s">
        <v>615</v>
      </c>
      <c r="L49" s="4" t="s">
        <v>563</v>
      </c>
      <c r="M49" s="4" t="s">
        <v>32</v>
      </c>
    </row>
    <row r="50" spans="1:13">
      <c r="A50" s="4" t="s">
        <v>564</v>
      </c>
      <c r="B50" s="4" t="s">
        <v>322</v>
      </c>
      <c r="C50" s="4" t="s">
        <v>8</v>
      </c>
      <c r="D50" s="39" t="s">
        <v>323</v>
      </c>
      <c r="E50" s="4" t="s">
        <v>560</v>
      </c>
      <c r="F50" s="4">
        <v>14</v>
      </c>
      <c r="G50" s="4" t="s">
        <v>565</v>
      </c>
      <c r="H50" s="4">
        <v>8.3140000000000001</v>
      </c>
      <c r="I50" s="4" t="s">
        <v>566</v>
      </c>
      <c r="J50" s="4" t="s">
        <v>108</v>
      </c>
      <c r="K50" s="4" t="s">
        <v>615</v>
      </c>
      <c r="L50" s="4" t="s">
        <v>625</v>
      </c>
      <c r="M50" s="4" t="s">
        <v>32</v>
      </c>
    </row>
    <row r="51" spans="1:13">
      <c r="A51" s="4" t="s">
        <v>567</v>
      </c>
      <c r="B51" s="4" t="s">
        <v>322</v>
      </c>
      <c r="C51" s="4" t="s">
        <v>8</v>
      </c>
      <c r="D51" s="39" t="s">
        <v>323</v>
      </c>
      <c r="E51" s="4" t="s">
        <v>560</v>
      </c>
      <c r="F51" s="4">
        <v>14</v>
      </c>
      <c r="G51" s="4" t="s">
        <v>568</v>
      </c>
      <c r="H51" s="4">
        <v>8.3400000000000002E-2</v>
      </c>
      <c r="I51" s="4" t="s">
        <v>569</v>
      </c>
      <c r="J51" s="4" t="s">
        <v>570</v>
      </c>
      <c r="K51" s="4" t="s">
        <v>615</v>
      </c>
      <c r="L51" s="4" t="s">
        <v>571</v>
      </c>
      <c r="M51" s="4" t="s">
        <v>32</v>
      </c>
    </row>
    <row r="52" spans="1:13">
      <c r="A52" s="4" t="s">
        <v>572</v>
      </c>
      <c r="B52" s="4" t="s">
        <v>573</v>
      </c>
      <c r="C52" s="4" t="s">
        <v>529</v>
      </c>
      <c r="D52" s="39" t="s">
        <v>530</v>
      </c>
      <c r="E52" s="4" t="s">
        <v>574</v>
      </c>
      <c r="F52" s="4" t="s">
        <v>453</v>
      </c>
      <c r="G52" s="4" t="s">
        <v>575</v>
      </c>
      <c r="H52" s="4">
        <v>365</v>
      </c>
      <c r="I52" s="4" t="s">
        <v>142</v>
      </c>
      <c r="J52" s="4" t="s">
        <v>576</v>
      </c>
      <c r="K52" s="4" t="s">
        <v>615</v>
      </c>
      <c r="L52" s="4" t="s">
        <v>577</v>
      </c>
      <c r="M52" s="4"/>
    </row>
    <row r="53" spans="1:13">
      <c r="A53" s="4" t="s">
        <v>578</v>
      </c>
      <c r="B53" s="4" t="s">
        <v>322</v>
      </c>
      <c r="C53" s="4" t="s">
        <v>8</v>
      </c>
      <c r="D53" s="39" t="s">
        <v>323</v>
      </c>
      <c r="E53" s="4" t="s">
        <v>505</v>
      </c>
      <c r="F53" s="4">
        <v>11</v>
      </c>
      <c r="G53" s="4" t="s">
        <v>579</v>
      </c>
      <c r="H53" s="4" t="s">
        <v>580</v>
      </c>
      <c r="I53" s="4" t="s">
        <v>16</v>
      </c>
      <c r="J53" s="4" t="s">
        <v>110</v>
      </c>
      <c r="K53" s="4" t="s">
        <v>275</v>
      </c>
      <c r="L53" s="4" t="s">
        <v>581</v>
      </c>
      <c r="M53" s="4" t="s">
        <v>32</v>
      </c>
    </row>
    <row r="54" spans="1:13">
      <c r="A54" s="4" t="s">
        <v>582</v>
      </c>
      <c r="B54" s="4" t="s">
        <v>322</v>
      </c>
      <c r="C54" s="4" t="s">
        <v>8</v>
      </c>
      <c r="D54" s="39" t="s">
        <v>323</v>
      </c>
      <c r="E54" s="4" t="s">
        <v>505</v>
      </c>
      <c r="F54" s="4">
        <v>11</v>
      </c>
      <c r="G54" s="4" t="s">
        <v>583</v>
      </c>
      <c r="H54" s="4" t="s">
        <v>584</v>
      </c>
      <c r="I54" s="4" t="s">
        <v>97</v>
      </c>
      <c r="J54" s="4" t="s">
        <v>585</v>
      </c>
      <c r="K54" s="4" t="s">
        <v>275</v>
      </c>
      <c r="L54" s="4" t="s">
        <v>586</v>
      </c>
      <c r="M54" s="4" t="s">
        <v>32</v>
      </c>
    </row>
    <row r="55" spans="1:13">
      <c r="A55" s="4" t="s">
        <v>587</v>
      </c>
      <c r="B55" s="4" t="s">
        <v>481</v>
      </c>
      <c r="C55" s="4" t="s">
        <v>482</v>
      </c>
      <c r="D55" s="39">
        <v>2026</v>
      </c>
      <c r="E55" s="4" t="s">
        <v>483</v>
      </c>
      <c r="F55" s="4" t="s">
        <v>543</v>
      </c>
      <c r="G55" s="4" t="s">
        <v>588</v>
      </c>
      <c r="H55" s="4" t="s">
        <v>589</v>
      </c>
      <c r="I55" s="4" t="s">
        <v>109</v>
      </c>
      <c r="J55" s="4" t="s">
        <v>590</v>
      </c>
      <c r="K55" s="4" t="s">
        <v>275</v>
      </c>
      <c r="L55" s="4" t="s">
        <v>591</v>
      </c>
      <c r="M55" s="4"/>
    </row>
    <row r="56" spans="1:13">
      <c r="A56" s="4" t="s">
        <v>592</v>
      </c>
      <c r="B56" s="4" t="s">
        <v>322</v>
      </c>
      <c r="C56" s="4" t="s">
        <v>8</v>
      </c>
      <c r="D56" s="39" t="s">
        <v>323</v>
      </c>
      <c r="E56" s="4" t="s">
        <v>560</v>
      </c>
      <c r="F56" s="4">
        <v>14</v>
      </c>
      <c r="G56" s="4" t="s">
        <v>593</v>
      </c>
      <c r="H56" s="4" t="s">
        <v>594</v>
      </c>
      <c r="I56" s="4" t="s">
        <v>107</v>
      </c>
      <c r="J56" s="4" t="s">
        <v>595</v>
      </c>
      <c r="K56" s="4" t="s">
        <v>275</v>
      </c>
      <c r="L56" s="4" t="s">
        <v>596</v>
      </c>
      <c r="M56" s="4" t="s">
        <v>32</v>
      </c>
    </row>
    <row r="57" spans="1:13">
      <c r="A57" s="4" t="s">
        <v>597</v>
      </c>
      <c r="B57" s="4" t="s">
        <v>322</v>
      </c>
      <c r="C57" s="4" t="s">
        <v>8</v>
      </c>
      <c r="D57" s="39" t="s">
        <v>323</v>
      </c>
      <c r="E57" s="4" t="s">
        <v>505</v>
      </c>
      <c r="F57" s="4" t="s">
        <v>506</v>
      </c>
      <c r="G57" s="4" t="s">
        <v>507</v>
      </c>
      <c r="H57" s="4" t="s">
        <v>135</v>
      </c>
      <c r="I57" s="4" t="s">
        <v>509</v>
      </c>
      <c r="J57" s="4" t="s">
        <v>76</v>
      </c>
      <c r="K57" s="4" t="s">
        <v>275</v>
      </c>
      <c r="L57" s="4" t="s">
        <v>598</v>
      </c>
      <c r="M57" s="4" t="s">
        <v>32</v>
      </c>
    </row>
    <row r="58" spans="1:13">
      <c r="A58" s="4" t="s">
        <v>599</v>
      </c>
      <c r="B58" s="4" t="s">
        <v>322</v>
      </c>
      <c r="C58" s="4" t="s">
        <v>8</v>
      </c>
      <c r="D58" s="4" t="s">
        <v>323</v>
      </c>
      <c r="E58" s="4" t="s">
        <v>560</v>
      </c>
      <c r="F58" s="4">
        <v>14</v>
      </c>
      <c r="G58" s="4" t="s">
        <v>568</v>
      </c>
      <c r="H58" s="4" t="s">
        <v>600</v>
      </c>
      <c r="I58" s="4" t="s">
        <v>163</v>
      </c>
      <c r="J58" s="4" t="s">
        <v>601</v>
      </c>
      <c r="K58" s="4" t="s">
        <v>275</v>
      </c>
      <c r="L58" s="4" t="s">
        <v>602</v>
      </c>
      <c r="M58" s="4" t="s">
        <v>32</v>
      </c>
    </row>
    <row r="59" spans="1:13">
      <c r="A59" s="4" t="s">
        <v>603</v>
      </c>
      <c r="B59" s="4" t="s">
        <v>604</v>
      </c>
      <c r="C59" s="4" t="s">
        <v>529</v>
      </c>
      <c r="D59" s="4" t="s">
        <v>530</v>
      </c>
      <c r="E59" s="4" t="s">
        <v>574</v>
      </c>
      <c r="F59" s="4" t="s">
        <v>453</v>
      </c>
      <c r="G59" s="4" t="s">
        <v>605</v>
      </c>
      <c r="H59" s="4" t="s">
        <v>606</v>
      </c>
      <c r="I59" s="4" t="s">
        <v>607</v>
      </c>
      <c r="J59" s="4" t="s">
        <v>275</v>
      </c>
      <c r="K59" s="4" t="s">
        <v>608</v>
      </c>
      <c r="L59" s="4"/>
      <c r="M59" s="4"/>
    </row>
    <row r="60" spans="1:13">
      <c r="A60" s="4" t="s">
        <v>609</v>
      </c>
      <c r="B60" s="4" t="s">
        <v>604</v>
      </c>
      <c r="C60" s="4" t="s">
        <v>529</v>
      </c>
      <c r="D60" s="4" t="s">
        <v>530</v>
      </c>
      <c r="E60" s="4" t="s">
        <v>574</v>
      </c>
      <c r="F60" s="4" t="s">
        <v>453</v>
      </c>
      <c r="G60" s="4" t="s">
        <v>610</v>
      </c>
      <c r="H60" s="4" t="s">
        <v>611</v>
      </c>
      <c r="I60" s="4" t="s">
        <v>612</v>
      </c>
      <c r="J60" s="4" t="s">
        <v>275</v>
      </c>
      <c r="K60" s="4" t="s">
        <v>613</v>
      </c>
      <c r="L60" s="4"/>
      <c r="M60" s="4"/>
    </row>
    <row r="62" spans="1:13" ht="18">
      <c r="A62" s="58" t="s">
        <v>627</v>
      </c>
      <c r="B62" s="58"/>
      <c r="C62" s="58"/>
      <c r="D62" s="58"/>
      <c r="E62" s="58"/>
      <c r="F62" s="58"/>
      <c r="G62" s="58"/>
      <c r="H62" s="58"/>
      <c r="I62" s="58"/>
      <c r="J62" s="58"/>
      <c r="K62" s="58"/>
      <c r="L62" s="58"/>
      <c r="M62" s="58"/>
    </row>
    <row r="63" spans="1:13" ht="30">
      <c r="A63" s="6" t="s">
        <v>5</v>
      </c>
      <c r="B63" s="6" t="s">
        <v>314</v>
      </c>
      <c r="C63" s="6" t="s">
        <v>315</v>
      </c>
      <c r="D63" s="6" t="s">
        <v>316</v>
      </c>
      <c r="E63" s="6" t="s">
        <v>317</v>
      </c>
      <c r="F63" s="6" t="s">
        <v>614</v>
      </c>
      <c r="G63" s="6" t="s">
        <v>318</v>
      </c>
      <c r="H63" s="6" t="s">
        <v>74</v>
      </c>
      <c r="I63" s="6" t="s">
        <v>6</v>
      </c>
      <c r="J63" s="6" t="s">
        <v>319</v>
      </c>
      <c r="K63" s="6" t="s">
        <v>626</v>
      </c>
      <c r="L63" s="6" t="s">
        <v>7</v>
      </c>
      <c r="M63" s="6" t="s">
        <v>320</v>
      </c>
    </row>
    <row r="64" spans="1:13">
      <c r="A64" s="38" t="s">
        <v>628</v>
      </c>
      <c r="B64" s="38" t="s">
        <v>322</v>
      </c>
      <c r="C64" s="38" t="s">
        <v>629</v>
      </c>
      <c r="D64" s="38" t="s">
        <v>630</v>
      </c>
      <c r="E64" s="38" t="s">
        <v>631</v>
      </c>
      <c r="F64" s="38">
        <v>13</v>
      </c>
      <c r="G64" s="38" t="s">
        <v>632</v>
      </c>
      <c r="H64" s="38">
        <v>2E-3</v>
      </c>
      <c r="I64" s="38" t="s">
        <v>233</v>
      </c>
      <c r="J64" s="38" t="s">
        <v>633</v>
      </c>
      <c r="K64" s="38" t="s">
        <v>634</v>
      </c>
      <c r="L64" s="38" t="s">
        <v>635</v>
      </c>
      <c r="M64" s="38" t="s">
        <v>636</v>
      </c>
    </row>
    <row r="65" spans="1:13">
      <c r="A65" s="38" t="s">
        <v>637</v>
      </c>
      <c r="B65" s="38" t="s">
        <v>322</v>
      </c>
      <c r="C65" s="38" t="s">
        <v>629</v>
      </c>
      <c r="D65" s="38" t="s">
        <v>630</v>
      </c>
      <c r="E65" s="38" t="s">
        <v>631</v>
      </c>
      <c r="F65" s="38">
        <v>13</v>
      </c>
      <c r="G65" s="38" t="s">
        <v>632</v>
      </c>
      <c r="H65" s="38">
        <v>1.41</v>
      </c>
      <c r="I65" s="38" t="s">
        <v>16</v>
      </c>
      <c r="J65" s="38" t="s">
        <v>220</v>
      </c>
      <c r="K65" s="38" t="s">
        <v>634</v>
      </c>
      <c r="L65" s="38" t="s">
        <v>638</v>
      </c>
      <c r="M65" s="38" t="s">
        <v>636</v>
      </c>
    </row>
    <row r="66" spans="1:13">
      <c r="A66" s="38" t="s">
        <v>639</v>
      </c>
      <c r="B66" s="38" t="s">
        <v>481</v>
      </c>
      <c r="C66" s="38" t="s">
        <v>482</v>
      </c>
      <c r="D66" s="38">
        <v>2026</v>
      </c>
      <c r="E66" s="38" t="s">
        <v>640</v>
      </c>
      <c r="F66" s="38" t="s">
        <v>641</v>
      </c>
      <c r="G66" s="38" t="s">
        <v>642</v>
      </c>
      <c r="H66" s="38">
        <v>1.03</v>
      </c>
      <c r="I66" s="38" t="s">
        <v>16</v>
      </c>
      <c r="J66" s="38" t="s">
        <v>643</v>
      </c>
      <c r="K66" s="38" t="s">
        <v>634</v>
      </c>
      <c r="L66" s="38" t="s">
        <v>644</v>
      </c>
      <c r="M66" s="38"/>
    </row>
    <row r="67" spans="1:13">
      <c r="A67" s="38" t="s">
        <v>645</v>
      </c>
      <c r="B67" s="38" t="s">
        <v>322</v>
      </c>
      <c r="C67" s="38" t="s">
        <v>629</v>
      </c>
      <c r="D67" s="38" t="s">
        <v>630</v>
      </c>
      <c r="E67" s="38" t="s">
        <v>646</v>
      </c>
      <c r="F67" s="38" t="s">
        <v>647</v>
      </c>
      <c r="G67" s="38" t="s">
        <v>648</v>
      </c>
      <c r="H67" s="38">
        <v>2.1</v>
      </c>
      <c r="I67" s="38" t="s">
        <v>649</v>
      </c>
      <c r="J67" s="38" t="s">
        <v>650</v>
      </c>
      <c r="K67" s="38" t="s">
        <v>634</v>
      </c>
      <c r="L67" s="38" t="s">
        <v>651</v>
      </c>
      <c r="M67" s="38" t="s">
        <v>636</v>
      </c>
    </row>
    <row r="68" spans="1:13">
      <c r="A68" s="38" t="s">
        <v>652</v>
      </c>
      <c r="B68" s="38" t="s">
        <v>322</v>
      </c>
      <c r="C68" s="38" t="s">
        <v>629</v>
      </c>
      <c r="D68" s="38" t="s">
        <v>630</v>
      </c>
      <c r="E68" s="38" t="s">
        <v>631</v>
      </c>
      <c r="F68" s="38">
        <v>13</v>
      </c>
      <c r="G68" s="38" t="s">
        <v>632</v>
      </c>
      <c r="H68" s="38">
        <v>8.3140000000000001</v>
      </c>
      <c r="I68" s="38" t="s">
        <v>653</v>
      </c>
      <c r="J68" s="38" t="s">
        <v>654</v>
      </c>
      <c r="K68" s="38" t="s">
        <v>634</v>
      </c>
      <c r="L68" s="38" t="s">
        <v>655</v>
      </c>
      <c r="M68" s="38" t="s">
        <v>636</v>
      </c>
    </row>
    <row r="69" spans="1:13">
      <c r="A69" s="38" t="s">
        <v>656</v>
      </c>
      <c r="B69" s="38" t="s">
        <v>481</v>
      </c>
      <c r="C69" s="38" t="s">
        <v>482</v>
      </c>
      <c r="D69" s="38">
        <v>2026</v>
      </c>
      <c r="E69" s="38" t="s">
        <v>640</v>
      </c>
      <c r="F69" s="38" t="s">
        <v>641</v>
      </c>
      <c r="G69" s="38" t="s">
        <v>657</v>
      </c>
      <c r="H69" s="38">
        <v>289</v>
      </c>
      <c r="I69" s="38" t="s">
        <v>91</v>
      </c>
      <c r="J69" s="38" t="s">
        <v>658</v>
      </c>
      <c r="K69" s="38" t="s">
        <v>634</v>
      </c>
      <c r="L69" s="38" t="s">
        <v>659</v>
      </c>
      <c r="M69" s="38"/>
    </row>
    <row r="70" spans="1:13">
      <c r="A70" s="38" t="s">
        <v>660</v>
      </c>
      <c r="B70" s="38" t="s">
        <v>481</v>
      </c>
      <c r="C70" s="38" t="s">
        <v>482</v>
      </c>
      <c r="D70" s="38">
        <v>2026</v>
      </c>
      <c r="E70" s="38" t="s">
        <v>640</v>
      </c>
      <c r="F70" s="38" t="s">
        <v>641</v>
      </c>
      <c r="G70" s="38" t="s">
        <v>661</v>
      </c>
      <c r="H70" s="38">
        <v>28</v>
      </c>
      <c r="I70" s="38" t="s">
        <v>524</v>
      </c>
      <c r="J70" s="38" t="s">
        <v>662</v>
      </c>
      <c r="K70" s="38" t="s">
        <v>634</v>
      </c>
      <c r="L70" s="38" t="s">
        <v>663</v>
      </c>
      <c r="M70" s="38"/>
    </row>
    <row r="71" spans="1:13">
      <c r="A71" s="38" t="s">
        <v>664</v>
      </c>
      <c r="B71" s="38" t="s">
        <v>481</v>
      </c>
      <c r="C71" s="38" t="s">
        <v>482</v>
      </c>
      <c r="D71" s="38">
        <v>2026</v>
      </c>
      <c r="E71" s="38" t="s">
        <v>640</v>
      </c>
      <c r="F71" s="38" t="s">
        <v>641</v>
      </c>
      <c r="G71" s="38" t="s">
        <v>661</v>
      </c>
      <c r="H71" s="38">
        <v>70</v>
      </c>
      <c r="I71" s="38" t="s">
        <v>524</v>
      </c>
      <c r="J71" s="38" t="s">
        <v>665</v>
      </c>
      <c r="K71" s="38" t="s">
        <v>634</v>
      </c>
      <c r="L71" s="38" t="s">
        <v>666</v>
      </c>
      <c r="M71" s="38"/>
    </row>
    <row r="72" spans="1:13">
      <c r="A72" s="38" t="s">
        <v>667</v>
      </c>
      <c r="B72" s="38" t="s">
        <v>322</v>
      </c>
      <c r="C72" s="38" t="s">
        <v>629</v>
      </c>
      <c r="D72" s="38" t="s">
        <v>630</v>
      </c>
      <c r="E72" s="38" t="s">
        <v>668</v>
      </c>
      <c r="F72" s="38">
        <v>17</v>
      </c>
      <c r="G72" s="38" t="s">
        <v>669</v>
      </c>
      <c r="H72" s="38">
        <v>0.95</v>
      </c>
      <c r="I72" s="38" t="s">
        <v>16</v>
      </c>
      <c r="J72" s="38" t="s">
        <v>670</v>
      </c>
      <c r="K72" s="38" t="s">
        <v>634</v>
      </c>
      <c r="L72" s="38" t="s">
        <v>671</v>
      </c>
      <c r="M72" s="38" t="s">
        <v>636</v>
      </c>
    </row>
    <row r="73" spans="1:13">
      <c r="A73" s="38" t="s">
        <v>672</v>
      </c>
      <c r="B73" s="38" t="s">
        <v>322</v>
      </c>
      <c r="C73" s="38" t="s">
        <v>629</v>
      </c>
      <c r="D73" s="38" t="s">
        <v>630</v>
      </c>
      <c r="E73" s="38" t="s">
        <v>668</v>
      </c>
      <c r="F73" s="38">
        <v>17</v>
      </c>
      <c r="G73" s="38" t="s">
        <v>673</v>
      </c>
      <c r="H73" s="38">
        <v>0.8</v>
      </c>
      <c r="I73" s="38" t="s">
        <v>16</v>
      </c>
      <c r="J73" s="38" t="s">
        <v>674</v>
      </c>
      <c r="K73" s="38" t="s">
        <v>634</v>
      </c>
      <c r="L73" s="38" t="s">
        <v>675</v>
      </c>
      <c r="M73" s="38" t="s">
        <v>636</v>
      </c>
    </row>
    <row r="74" spans="1:13">
      <c r="A74" s="38" t="s">
        <v>676</v>
      </c>
      <c r="B74" s="38" t="s">
        <v>481</v>
      </c>
      <c r="C74" s="38" t="s">
        <v>482</v>
      </c>
      <c r="D74" s="38">
        <v>2026</v>
      </c>
      <c r="E74" s="38" t="s">
        <v>677</v>
      </c>
      <c r="F74" s="38" t="s">
        <v>678</v>
      </c>
      <c r="G74" s="38" t="s">
        <v>679</v>
      </c>
      <c r="H74" s="38">
        <v>0.88</v>
      </c>
      <c r="I74" s="38" t="s">
        <v>16</v>
      </c>
      <c r="J74" s="38" t="s">
        <v>680</v>
      </c>
      <c r="K74" s="38" t="s">
        <v>634</v>
      </c>
      <c r="L74" s="38" t="s">
        <v>681</v>
      </c>
      <c r="M74" s="38"/>
    </row>
    <row r="75" spans="1:13" ht="15">
      <c r="A75" s="38" t="s">
        <v>682</v>
      </c>
      <c r="B75" s="38" t="s">
        <v>322</v>
      </c>
      <c r="C75" s="38" t="s">
        <v>629</v>
      </c>
      <c r="D75" s="38" t="s">
        <v>630</v>
      </c>
      <c r="E75" s="38" t="s">
        <v>668</v>
      </c>
      <c r="F75" s="38">
        <v>17</v>
      </c>
      <c r="G75" s="38" t="s">
        <v>683</v>
      </c>
      <c r="H75" s="38">
        <v>16000</v>
      </c>
      <c r="I75" s="38" t="s">
        <v>684</v>
      </c>
      <c r="J75" s="38" t="s">
        <v>685</v>
      </c>
      <c r="K75" s="38" t="s">
        <v>634</v>
      </c>
      <c r="L75" s="40" t="s">
        <v>686</v>
      </c>
      <c r="M75" s="38" t="s">
        <v>636</v>
      </c>
    </row>
    <row r="76" spans="1:13">
      <c r="A76" s="38" t="s">
        <v>687</v>
      </c>
      <c r="B76" s="38" t="s">
        <v>322</v>
      </c>
      <c r="C76" s="38" t="s">
        <v>629</v>
      </c>
      <c r="D76" s="38" t="s">
        <v>630</v>
      </c>
      <c r="E76" s="38" t="s">
        <v>646</v>
      </c>
      <c r="F76" s="38" t="s">
        <v>647</v>
      </c>
      <c r="G76" s="38" t="s">
        <v>688</v>
      </c>
      <c r="H76" s="38" t="s">
        <v>689</v>
      </c>
      <c r="I76" s="38" t="s">
        <v>16</v>
      </c>
      <c r="J76" s="38" t="s">
        <v>690</v>
      </c>
      <c r="K76" s="38" t="s">
        <v>634</v>
      </c>
      <c r="L76" s="38" t="s">
        <v>691</v>
      </c>
      <c r="M76" s="38" t="s">
        <v>636</v>
      </c>
    </row>
    <row r="77" spans="1:13">
      <c r="A77" s="38" t="s">
        <v>692</v>
      </c>
      <c r="B77" s="38" t="s">
        <v>322</v>
      </c>
      <c r="C77" s="38" t="s">
        <v>629</v>
      </c>
      <c r="D77" s="38" t="s">
        <v>630</v>
      </c>
      <c r="E77" s="38" t="s">
        <v>646</v>
      </c>
      <c r="F77" s="38" t="s">
        <v>647</v>
      </c>
      <c r="G77" s="38" t="s">
        <v>688</v>
      </c>
      <c r="H77" s="38" t="s">
        <v>693</v>
      </c>
      <c r="I77" s="38" t="s">
        <v>16</v>
      </c>
      <c r="J77" s="38" t="s">
        <v>694</v>
      </c>
      <c r="K77" s="38" t="s">
        <v>634</v>
      </c>
      <c r="L77" s="38" t="s">
        <v>695</v>
      </c>
      <c r="M77" s="38" t="s">
        <v>636</v>
      </c>
    </row>
    <row r="78" spans="1:13">
      <c r="A78" s="38" t="s">
        <v>696</v>
      </c>
      <c r="B78" s="38" t="s">
        <v>322</v>
      </c>
      <c r="C78" s="38" t="s">
        <v>629</v>
      </c>
      <c r="D78" s="38" t="s">
        <v>630</v>
      </c>
      <c r="E78" s="38" t="s">
        <v>646</v>
      </c>
      <c r="F78" s="38" t="s">
        <v>647</v>
      </c>
      <c r="G78" s="38" t="s">
        <v>688</v>
      </c>
      <c r="H78" s="38" t="s">
        <v>697</v>
      </c>
      <c r="I78" s="38" t="s">
        <v>91</v>
      </c>
      <c r="J78" s="38" t="s">
        <v>698</v>
      </c>
      <c r="K78" s="38" t="s">
        <v>634</v>
      </c>
      <c r="L78" s="38" t="s">
        <v>699</v>
      </c>
      <c r="M78" s="38" t="s">
        <v>636</v>
      </c>
    </row>
    <row r="79" spans="1:13">
      <c r="A79" s="38" t="s">
        <v>700</v>
      </c>
      <c r="B79" s="38" t="s">
        <v>322</v>
      </c>
      <c r="C79" s="38" t="s">
        <v>629</v>
      </c>
      <c r="D79" s="38" t="s">
        <v>630</v>
      </c>
      <c r="E79" s="38" t="s">
        <v>646</v>
      </c>
      <c r="F79" s="38" t="s">
        <v>647</v>
      </c>
      <c r="G79" s="38" t="s">
        <v>688</v>
      </c>
      <c r="H79" s="38" t="s">
        <v>701</v>
      </c>
      <c r="I79" s="38" t="s">
        <v>16</v>
      </c>
      <c r="J79" s="38" t="s">
        <v>702</v>
      </c>
      <c r="K79" s="38" t="s">
        <v>634</v>
      </c>
      <c r="L79" s="38" t="s">
        <v>703</v>
      </c>
      <c r="M79" s="38" t="s">
        <v>636</v>
      </c>
    </row>
    <row r="80" spans="1:13">
      <c r="A80" s="38" t="s">
        <v>704</v>
      </c>
      <c r="B80" s="38" t="s">
        <v>705</v>
      </c>
      <c r="C80" s="38" t="s">
        <v>529</v>
      </c>
      <c r="D80" s="38" t="s">
        <v>530</v>
      </c>
      <c r="E80" s="38" t="s">
        <v>706</v>
      </c>
      <c r="F80" s="38" t="s">
        <v>453</v>
      </c>
      <c r="G80" s="38" t="s">
        <v>707</v>
      </c>
      <c r="H80" s="38" t="s">
        <v>708</v>
      </c>
      <c r="I80" s="38" t="s">
        <v>16</v>
      </c>
      <c r="J80" s="38" t="s">
        <v>709</v>
      </c>
      <c r="K80" s="38" t="s">
        <v>634</v>
      </c>
      <c r="L80" s="38" t="s">
        <v>710</v>
      </c>
      <c r="M80" s="38"/>
    </row>
    <row r="81" spans="1:13">
      <c r="A81" s="38" t="s">
        <v>711</v>
      </c>
      <c r="B81" s="38" t="s">
        <v>322</v>
      </c>
      <c r="C81" s="38" t="s">
        <v>629</v>
      </c>
      <c r="D81" s="38" t="s">
        <v>630</v>
      </c>
      <c r="E81" s="38" t="s">
        <v>646</v>
      </c>
      <c r="F81" s="38" t="s">
        <v>647</v>
      </c>
      <c r="G81" s="38" t="s">
        <v>712</v>
      </c>
      <c r="H81" s="38" t="s">
        <v>713</v>
      </c>
      <c r="I81" s="38" t="s">
        <v>222</v>
      </c>
      <c r="J81" s="38" t="s">
        <v>714</v>
      </c>
      <c r="K81" s="38" t="s">
        <v>634</v>
      </c>
      <c r="L81" s="38" t="s">
        <v>715</v>
      </c>
      <c r="M81" s="38" t="s">
        <v>636</v>
      </c>
    </row>
    <row r="82" spans="1:13">
      <c r="A82" s="38" t="s">
        <v>716</v>
      </c>
      <c r="B82" s="38" t="s">
        <v>322</v>
      </c>
      <c r="C82" s="38" t="s">
        <v>629</v>
      </c>
      <c r="D82" s="38" t="s">
        <v>630</v>
      </c>
      <c r="E82" s="38" t="s">
        <v>646</v>
      </c>
      <c r="F82" s="38" t="s">
        <v>647</v>
      </c>
      <c r="G82" s="38" t="s">
        <v>712</v>
      </c>
      <c r="H82" s="38" t="s">
        <v>717</v>
      </c>
      <c r="I82" s="38" t="s">
        <v>222</v>
      </c>
      <c r="J82" s="38" t="s">
        <v>718</v>
      </c>
      <c r="K82" s="38" t="s">
        <v>634</v>
      </c>
      <c r="L82" s="38" t="s">
        <v>719</v>
      </c>
      <c r="M82" s="38" t="s">
        <v>636</v>
      </c>
    </row>
    <row r="83" spans="1:13">
      <c r="A83" s="38" t="s">
        <v>720</v>
      </c>
      <c r="B83" s="38" t="s">
        <v>705</v>
      </c>
      <c r="C83" s="38" t="s">
        <v>529</v>
      </c>
      <c r="D83" s="38" t="s">
        <v>530</v>
      </c>
      <c r="E83" s="38" t="s">
        <v>721</v>
      </c>
      <c r="F83" s="38" t="s">
        <v>453</v>
      </c>
      <c r="G83" s="38" t="s">
        <v>722</v>
      </c>
      <c r="H83" s="38" t="s">
        <v>723</v>
      </c>
      <c r="I83" s="38" t="s">
        <v>724</v>
      </c>
      <c r="J83" s="38" t="s">
        <v>634</v>
      </c>
      <c r="K83" s="38" t="s">
        <v>725</v>
      </c>
      <c r="L83" s="38"/>
      <c r="M83" s="38"/>
    </row>
    <row r="84" spans="1:13">
      <c r="A84" s="38" t="s">
        <v>726</v>
      </c>
      <c r="B84" s="38" t="s">
        <v>322</v>
      </c>
      <c r="C84" s="38" t="s">
        <v>629</v>
      </c>
      <c r="D84" s="38" t="s">
        <v>630</v>
      </c>
      <c r="E84" s="38" t="s">
        <v>646</v>
      </c>
      <c r="F84" s="38" t="s">
        <v>647</v>
      </c>
      <c r="G84" s="38" t="s">
        <v>727</v>
      </c>
      <c r="H84" s="38" t="s">
        <v>728</v>
      </c>
      <c r="I84" s="38" t="s">
        <v>479</v>
      </c>
      <c r="J84" s="38" t="s">
        <v>729</v>
      </c>
      <c r="K84" s="38" t="s">
        <v>634</v>
      </c>
      <c r="L84" s="38" t="s">
        <v>730</v>
      </c>
      <c r="M84" s="38" t="s">
        <v>636</v>
      </c>
    </row>
    <row r="85" spans="1:13">
      <c r="A85" s="38" t="s">
        <v>731</v>
      </c>
      <c r="B85" s="38" t="s">
        <v>322</v>
      </c>
      <c r="C85" s="38" t="s">
        <v>629</v>
      </c>
      <c r="D85" s="38" t="s">
        <v>630</v>
      </c>
      <c r="E85" s="38" t="s">
        <v>668</v>
      </c>
      <c r="F85" s="38">
        <v>17</v>
      </c>
      <c r="G85" s="38" t="s">
        <v>732</v>
      </c>
      <c r="H85" s="38" t="s">
        <v>733</v>
      </c>
      <c r="I85" s="38" t="s">
        <v>734</v>
      </c>
      <c r="J85" s="38" t="s">
        <v>735</v>
      </c>
      <c r="K85" s="38" t="s">
        <v>634</v>
      </c>
      <c r="L85" s="38" t="s">
        <v>736</v>
      </c>
      <c r="M85" s="38" t="s">
        <v>636</v>
      </c>
    </row>
    <row r="86" spans="1:13">
      <c r="A86" s="38" t="s">
        <v>737</v>
      </c>
      <c r="B86" s="38" t="s">
        <v>604</v>
      </c>
      <c r="C86" s="38" t="s">
        <v>529</v>
      </c>
      <c r="D86" s="38" t="s">
        <v>530</v>
      </c>
      <c r="E86" s="38" t="s">
        <v>738</v>
      </c>
      <c r="F86" s="38" t="s">
        <v>453</v>
      </c>
      <c r="G86" s="38" t="s">
        <v>739</v>
      </c>
      <c r="H86" s="38" t="s">
        <v>740</v>
      </c>
      <c r="I86" s="38" t="s">
        <v>741</v>
      </c>
      <c r="J86" s="38" t="s">
        <v>634</v>
      </c>
      <c r="K86" s="38" t="s">
        <v>742</v>
      </c>
      <c r="L86" s="38"/>
      <c r="M86" s="38"/>
    </row>
    <row r="87" spans="1:13">
      <c r="A87" s="38" t="s">
        <v>743</v>
      </c>
      <c r="B87" s="38" t="s">
        <v>322</v>
      </c>
      <c r="C87" s="38" t="s">
        <v>629</v>
      </c>
      <c r="D87" s="38" t="s">
        <v>630</v>
      </c>
      <c r="E87" s="38" t="s">
        <v>744</v>
      </c>
      <c r="F87" s="38">
        <v>18</v>
      </c>
      <c r="G87" s="38" t="s">
        <v>745</v>
      </c>
      <c r="H87" s="38">
        <v>3083.3</v>
      </c>
      <c r="I87" s="38" t="s">
        <v>746</v>
      </c>
      <c r="J87" s="38" t="s">
        <v>747</v>
      </c>
      <c r="K87" s="38" t="s">
        <v>634</v>
      </c>
      <c r="L87" s="38" t="s">
        <v>748</v>
      </c>
      <c r="M87" s="38" t="s">
        <v>636</v>
      </c>
    </row>
    <row r="88" spans="1:13">
      <c r="A88" s="38" t="s">
        <v>749</v>
      </c>
      <c r="B88" s="38" t="s">
        <v>322</v>
      </c>
      <c r="C88" s="38" t="s">
        <v>629</v>
      </c>
      <c r="D88" s="38" t="s">
        <v>630</v>
      </c>
      <c r="E88" s="38" t="s">
        <v>744</v>
      </c>
      <c r="F88" s="38">
        <v>18</v>
      </c>
      <c r="G88" s="38" t="s">
        <v>745</v>
      </c>
      <c r="H88" s="38">
        <v>0.83350000000000002</v>
      </c>
      <c r="I88" s="38" t="s">
        <v>16</v>
      </c>
      <c r="J88" s="38" t="s">
        <v>750</v>
      </c>
      <c r="K88" s="38" t="s">
        <v>634</v>
      </c>
      <c r="L88" s="38" t="s">
        <v>751</v>
      </c>
      <c r="M88" s="38" t="s">
        <v>636</v>
      </c>
    </row>
    <row r="89" spans="1:13">
      <c r="A89" s="38" t="s">
        <v>752</v>
      </c>
      <c r="B89" s="38" t="s">
        <v>322</v>
      </c>
      <c r="C89" s="38" t="s">
        <v>629</v>
      </c>
      <c r="D89" s="38" t="s">
        <v>630</v>
      </c>
      <c r="E89" s="38" t="s">
        <v>744</v>
      </c>
      <c r="F89" s="38">
        <v>18</v>
      </c>
      <c r="G89" s="38" t="s">
        <v>745</v>
      </c>
      <c r="H89" s="38">
        <v>2</v>
      </c>
      <c r="I89" s="38" t="s">
        <v>332</v>
      </c>
      <c r="J89" s="38" t="s">
        <v>753</v>
      </c>
      <c r="K89" s="38" t="s">
        <v>634</v>
      </c>
      <c r="L89" s="38" t="s">
        <v>754</v>
      </c>
      <c r="M89" s="38" t="s">
        <v>636</v>
      </c>
    </row>
    <row r="90" spans="1:13">
      <c r="A90" s="38" t="s">
        <v>755</v>
      </c>
      <c r="B90" s="38" t="s">
        <v>322</v>
      </c>
      <c r="C90" s="38" t="s">
        <v>629</v>
      </c>
      <c r="D90" s="38" t="s">
        <v>630</v>
      </c>
      <c r="E90" s="38" t="s">
        <v>744</v>
      </c>
      <c r="F90" s="38">
        <v>18</v>
      </c>
      <c r="G90" s="38" t="s">
        <v>745</v>
      </c>
      <c r="H90" s="38" t="s">
        <v>756</v>
      </c>
      <c r="I90" s="38" t="s">
        <v>757</v>
      </c>
      <c r="J90" s="38" t="s">
        <v>758</v>
      </c>
      <c r="K90" s="38" t="s">
        <v>634</v>
      </c>
      <c r="L90" s="38" t="s">
        <v>759</v>
      </c>
      <c r="M90" s="38" t="s">
        <v>636</v>
      </c>
    </row>
    <row r="91" spans="1:13">
      <c r="A91" s="38" t="s">
        <v>760</v>
      </c>
      <c r="B91" s="38" t="s">
        <v>322</v>
      </c>
      <c r="C91" s="38" t="s">
        <v>629</v>
      </c>
      <c r="D91" s="38" t="s">
        <v>630</v>
      </c>
      <c r="E91" s="38" t="s">
        <v>744</v>
      </c>
      <c r="F91" s="38">
        <v>18</v>
      </c>
      <c r="G91" s="38" t="s">
        <v>745</v>
      </c>
      <c r="H91" s="38" t="s">
        <v>761</v>
      </c>
      <c r="I91" s="38" t="s">
        <v>757</v>
      </c>
      <c r="J91" s="38" t="s">
        <v>762</v>
      </c>
      <c r="K91" s="38" t="s">
        <v>634</v>
      </c>
      <c r="L91" s="38" t="s">
        <v>763</v>
      </c>
      <c r="M91" s="38" t="s">
        <v>636</v>
      </c>
    </row>
    <row r="92" spans="1:13">
      <c r="A92" s="38" t="s">
        <v>764</v>
      </c>
      <c r="B92" s="38" t="s">
        <v>481</v>
      </c>
      <c r="C92" s="38" t="s">
        <v>482</v>
      </c>
      <c r="D92" s="38">
        <v>2026</v>
      </c>
      <c r="E92" s="38" t="s">
        <v>765</v>
      </c>
      <c r="F92" s="38" t="s">
        <v>766</v>
      </c>
      <c r="G92" s="38" t="s">
        <v>767</v>
      </c>
      <c r="H92" s="38" t="s">
        <v>768</v>
      </c>
      <c r="I92" s="38" t="s">
        <v>757</v>
      </c>
      <c r="J92" s="38" t="s">
        <v>762</v>
      </c>
      <c r="K92" s="38" t="s">
        <v>634</v>
      </c>
      <c r="L92" s="38" t="s">
        <v>769</v>
      </c>
      <c r="M92" s="38"/>
    </row>
    <row r="93" spans="1:13">
      <c r="A93" s="38" t="s">
        <v>770</v>
      </c>
      <c r="B93" s="38" t="s">
        <v>322</v>
      </c>
      <c r="C93" s="38" t="s">
        <v>629</v>
      </c>
      <c r="D93" s="38" t="s">
        <v>630</v>
      </c>
      <c r="E93" s="38" t="s">
        <v>744</v>
      </c>
      <c r="F93" s="38">
        <v>18</v>
      </c>
      <c r="G93" s="38" t="s">
        <v>771</v>
      </c>
      <c r="H93" s="38" t="s">
        <v>772</v>
      </c>
      <c r="I93" s="38" t="s">
        <v>332</v>
      </c>
      <c r="J93" s="38" t="s">
        <v>773</v>
      </c>
      <c r="K93" s="38" t="s">
        <v>774</v>
      </c>
      <c r="L93" s="38" t="s">
        <v>775</v>
      </c>
      <c r="M93" s="38" t="s">
        <v>636</v>
      </c>
    </row>
    <row r="94" spans="1:13">
      <c r="A94" s="38" t="s">
        <v>776</v>
      </c>
      <c r="B94" s="38" t="s">
        <v>322</v>
      </c>
      <c r="C94" s="38" t="s">
        <v>629</v>
      </c>
      <c r="D94" s="38" t="s">
        <v>630</v>
      </c>
      <c r="E94" s="38" t="s">
        <v>744</v>
      </c>
      <c r="F94" s="38">
        <v>18</v>
      </c>
      <c r="G94" s="38" t="s">
        <v>777</v>
      </c>
      <c r="H94" s="38">
        <v>0.75</v>
      </c>
      <c r="I94" s="38" t="s">
        <v>440</v>
      </c>
      <c r="J94" s="38" t="s">
        <v>778</v>
      </c>
      <c r="K94" s="38" t="s">
        <v>774</v>
      </c>
      <c r="L94" s="38" t="s">
        <v>779</v>
      </c>
      <c r="M94" s="38" t="s">
        <v>636</v>
      </c>
    </row>
    <row r="95" spans="1:13">
      <c r="A95" s="38" t="s">
        <v>780</v>
      </c>
      <c r="B95" s="38" t="s">
        <v>481</v>
      </c>
      <c r="C95" s="38" t="s">
        <v>482</v>
      </c>
      <c r="D95" s="38">
        <v>2026</v>
      </c>
      <c r="E95" s="38" t="s">
        <v>765</v>
      </c>
      <c r="F95" s="38" t="s">
        <v>766</v>
      </c>
      <c r="G95" s="38" t="s">
        <v>781</v>
      </c>
      <c r="H95" s="38">
        <v>15</v>
      </c>
      <c r="I95" s="38" t="s">
        <v>18</v>
      </c>
      <c r="J95" s="38" t="s">
        <v>782</v>
      </c>
      <c r="K95" s="38" t="s">
        <v>774</v>
      </c>
      <c r="L95" s="38" t="s">
        <v>783</v>
      </c>
      <c r="M95" s="38"/>
    </row>
    <row r="96" spans="1:13">
      <c r="A96" s="38" t="s">
        <v>784</v>
      </c>
      <c r="B96" s="38" t="s">
        <v>573</v>
      </c>
      <c r="C96" s="38" t="s">
        <v>529</v>
      </c>
      <c r="D96" s="38" t="s">
        <v>530</v>
      </c>
      <c r="E96" s="38" t="s">
        <v>785</v>
      </c>
      <c r="F96" s="38" t="s">
        <v>453</v>
      </c>
      <c r="G96" s="38" t="s">
        <v>786</v>
      </c>
      <c r="H96" s="38">
        <v>1</v>
      </c>
      <c r="I96" s="38" t="s">
        <v>787</v>
      </c>
      <c r="J96" s="38" t="s">
        <v>788</v>
      </c>
      <c r="K96" s="38" t="s">
        <v>774</v>
      </c>
      <c r="L96" s="38" t="s">
        <v>789</v>
      </c>
      <c r="M96" s="38"/>
    </row>
    <row r="97" spans="1:13">
      <c r="A97" s="38" t="s">
        <v>790</v>
      </c>
      <c r="B97" s="38" t="s">
        <v>573</v>
      </c>
      <c r="C97" s="38" t="s">
        <v>529</v>
      </c>
      <c r="D97" s="38" t="s">
        <v>530</v>
      </c>
      <c r="E97" s="38" t="s">
        <v>791</v>
      </c>
      <c r="F97" s="38" t="s">
        <v>453</v>
      </c>
      <c r="G97" s="38" t="s">
        <v>249</v>
      </c>
      <c r="H97" s="38">
        <v>8760</v>
      </c>
      <c r="I97" s="38" t="s">
        <v>401</v>
      </c>
      <c r="J97" s="38" t="s">
        <v>792</v>
      </c>
      <c r="K97" s="38" t="s">
        <v>774</v>
      </c>
      <c r="L97" s="38" t="s">
        <v>793</v>
      </c>
      <c r="M97" s="38"/>
    </row>
    <row r="98" spans="1:13">
      <c r="D98" s="34"/>
    </row>
  </sheetData>
  <mergeCells count="2">
    <mergeCell ref="A1:M1"/>
    <mergeCell ref="A62:M62"/>
  </mergeCells>
  <dataValidations count="1">
    <dataValidation type="list" sqref="F3:F30 F33:F46" xr:uid="{00000000-0002-0000-0100-000000000000}">
      <formula1>"To extract,Partial,Extracted,Checked"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7"/>
  <sheetViews>
    <sheetView workbookViewId="0">
      <selection activeCell="A8" sqref="A8:XFD9"/>
    </sheetView>
  </sheetViews>
  <sheetFormatPr defaultRowHeight="14.25"/>
  <cols>
    <col min="1" max="1" width="36.5" bestFit="1" customWidth="1"/>
    <col min="2" max="2" width="65.625" bestFit="1" customWidth="1"/>
    <col min="3" max="3" width="83.875" bestFit="1" customWidth="1"/>
    <col min="4" max="4" width="22" customWidth="1"/>
    <col min="5" max="5" width="175.5" bestFit="1" customWidth="1"/>
    <col min="6" max="6" width="175.25" bestFit="1" customWidth="1"/>
  </cols>
  <sheetData>
    <row r="1" spans="1:6" ht="18">
      <c r="A1" s="61" t="s">
        <v>38</v>
      </c>
      <c r="B1" s="61"/>
      <c r="C1" s="61"/>
      <c r="D1" s="61"/>
      <c r="E1" s="61"/>
      <c r="F1" s="61"/>
    </row>
    <row r="2" spans="1:6">
      <c r="A2" s="4"/>
      <c r="B2" s="4"/>
      <c r="C2" s="4"/>
      <c r="D2" s="4"/>
      <c r="E2" s="4"/>
      <c r="F2" s="4"/>
    </row>
    <row r="3" spans="1:6" ht="15">
      <c r="A3" s="59" t="s">
        <v>4</v>
      </c>
      <c r="B3" s="59"/>
      <c r="C3" s="59"/>
      <c r="D3" s="59"/>
      <c r="E3" s="59"/>
      <c r="F3" s="59"/>
    </row>
    <row r="4" spans="1:6" ht="15">
      <c r="A4" s="3" t="s">
        <v>11</v>
      </c>
      <c r="B4" s="3" t="s">
        <v>12</v>
      </c>
      <c r="C4" s="3" t="s">
        <v>13</v>
      </c>
      <c r="D4" s="3" t="s">
        <v>6</v>
      </c>
      <c r="E4" s="3" t="s">
        <v>14</v>
      </c>
      <c r="F4" s="3" t="s">
        <v>37</v>
      </c>
    </row>
    <row r="5" spans="1:6">
      <c r="A5" s="38" t="s">
        <v>794</v>
      </c>
      <c r="B5" s="38" t="s">
        <v>17</v>
      </c>
      <c r="C5" s="38">
        <v>50</v>
      </c>
      <c r="D5" s="38" t="s">
        <v>18</v>
      </c>
      <c r="E5" s="38" t="s">
        <v>32</v>
      </c>
      <c r="F5" s="38" t="s">
        <v>798</v>
      </c>
    </row>
    <row r="6" spans="1:6">
      <c r="A6" s="38" t="s">
        <v>794</v>
      </c>
      <c r="B6" s="38" t="s">
        <v>71</v>
      </c>
      <c r="C6" s="38">
        <v>0.75</v>
      </c>
      <c r="D6" s="38" t="s">
        <v>440</v>
      </c>
      <c r="E6" s="38" t="s">
        <v>32</v>
      </c>
      <c r="F6" s="37" t="s">
        <v>799</v>
      </c>
    </row>
    <row r="7" spans="1:6">
      <c r="A7" s="38" t="s">
        <v>794</v>
      </c>
      <c r="B7" s="38" t="s">
        <v>185</v>
      </c>
      <c r="C7" s="38">
        <v>88.5</v>
      </c>
      <c r="D7" s="38" t="s">
        <v>800</v>
      </c>
      <c r="E7" s="38" t="s">
        <v>184</v>
      </c>
      <c r="F7" s="38" t="s">
        <v>801</v>
      </c>
    </row>
    <row r="8" spans="1:6">
      <c r="A8" s="38" t="s">
        <v>794</v>
      </c>
      <c r="B8" s="38" t="s">
        <v>186</v>
      </c>
      <c r="C8" s="38">
        <v>103.3</v>
      </c>
      <c r="D8" s="38" t="s">
        <v>800</v>
      </c>
      <c r="E8" s="38" t="s">
        <v>184</v>
      </c>
      <c r="F8" s="38" t="s">
        <v>801</v>
      </c>
    </row>
    <row r="9" spans="1:6">
      <c r="A9" s="38" t="s">
        <v>794</v>
      </c>
      <c r="B9" s="38" t="s">
        <v>187</v>
      </c>
      <c r="C9" s="38">
        <v>105</v>
      </c>
      <c r="D9" s="38" t="s">
        <v>800</v>
      </c>
      <c r="E9" s="38" t="s">
        <v>184</v>
      </c>
      <c r="F9" s="38" t="s">
        <v>801</v>
      </c>
    </row>
    <row r="10" spans="1:6" ht="57">
      <c r="A10" s="38" t="s">
        <v>795</v>
      </c>
      <c r="B10" s="38" t="s">
        <v>183</v>
      </c>
      <c r="C10" s="38">
        <v>1.1000000000000001</v>
      </c>
      <c r="D10" s="38" t="s">
        <v>332</v>
      </c>
      <c r="E10" s="38" t="s">
        <v>32</v>
      </c>
      <c r="F10" s="37" t="s">
        <v>808</v>
      </c>
    </row>
    <row r="11" spans="1:6" ht="30">
      <c r="A11" s="38" t="s">
        <v>795</v>
      </c>
      <c r="B11" s="38" t="s">
        <v>176</v>
      </c>
      <c r="C11" s="41">
        <v>0.4</v>
      </c>
      <c r="D11" s="38" t="s">
        <v>16</v>
      </c>
      <c r="E11" s="38" t="s">
        <v>32</v>
      </c>
      <c r="F11" s="42" t="s">
        <v>802</v>
      </c>
    </row>
    <row r="12" spans="1:6">
      <c r="A12" s="38" t="s">
        <v>796</v>
      </c>
      <c r="B12" s="38" t="s">
        <v>40</v>
      </c>
      <c r="C12" s="41">
        <v>0.05</v>
      </c>
      <c r="D12" s="38" t="s">
        <v>9</v>
      </c>
      <c r="E12" s="38" t="s">
        <v>32</v>
      </c>
      <c r="F12" s="37" t="s">
        <v>41</v>
      </c>
    </row>
    <row r="13" spans="1:6">
      <c r="A13" s="38" t="s">
        <v>796</v>
      </c>
      <c r="B13" s="38" t="s">
        <v>42</v>
      </c>
      <c r="C13" s="41">
        <v>0.1</v>
      </c>
      <c r="D13" s="38" t="s">
        <v>9</v>
      </c>
      <c r="E13" s="38" t="s">
        <v>32</v>
      </c>
      <c r="F13" s="37" t="s">
        <v>43</v>
      </c>
    </row>
    <row r="14" spans="1:6">
      <c r="A14" s="38" t="s">
        <v>796</v>
      </c>
      <c r="B14" s="38" t="s">
        <v>44</v>
      </c>
      <c r="C14" s="41">
        <v>0.1</v>
      </c>
      <c r="D14" s="38" t="s">
        <v>9</v>
      </c>
      <c r="E14" s="38" t="s">
        <v>32</v>
      </c>
      <c r="F14" s="37" t="s">
        <v>45</v>
      </c>
    </row>
    <row r="15" spans="1:6" ht="28.5">
      <c r="A15" s="38" t="s">
        <v>796</v>
      </c>
      <c r="B15" s="38" t="s">
        <v>19</v>
      </c>
      <c r="C15" s="41">
        <v>0.03</v>
      </c>
      <c r="D15" s="38" t="s">
        <v>9</v>
      </c>
      <c r="E15" s="38" t="s">
        <v>32</v>
      </c>
      <c r="F15" s="37" t="s">
        <v>46</v>
      </c>
    </row>
    <row r="16" spans="1:6">
      <c r="A16" s="38" t="s">
        <v>796</v>
      </c>
      <c r="B16" s="38" t="s">
        <v>803</v>
      </c>
      <c r="C16" s="41">
        <v>0.12</v>
      </c>
      <c r="D16" s="38" t="s">
        <v>9</v>
      </c>
      <c r="E16" s="38" t="s">
        <v>32</v>
      </c>
      <c r="F16" s="37" t="s">
        <v>804</v>
      </c>
    </row>
    <row r="17" spans="1:6">
      <c r="A17" s="38" t="s">
        <v>797</v>
      </c>
      <c r="B17" s="38" t="s">
        <v>49</v>
      </c>
      <c r="C17" s="38">
        <v>49.6</v>
      </c>
      <c r="D17" s="38" t="s">
        <v>119</v>
      </c>
      <c r="E17" s="38" t="s">
        <v>33</v>
      </c>
      <c r="F17" s="38" t="s">
        <v>805</v>
      </c>
    </row>
    <row r="18" spans="1:6">
      <c r="A18" s="38" t="s">
        <v>797</v>
      </c>
      <c r="B18" s="38" t="s">
        <v>58</v>
      </c>
      <c r="C18" s="41">
        <v>0.5</v>
      </c>
      <c r="D18" s="38" t="s">
        <v>16</v>
      </c>
      <c r="E18" s="38" t="s">
        <v>33</v>
      </c>
      <c r="F18" s="38" t="s">
        <v>59</v>
      </c>
    </row>
    <row r="19" spans="1:6">
      <c r="A19" s="4"/>
      <c r="B19" s="4"/>
      <c r="C19" s="8"/>
      <c r="D19" s="4"/>
      <c r="E19" s="4"/>
      <c r="F19" s="4"/>
    </row>
    <row r="20" spans="1:6">
      <c r="A20" s="4"/>
      <c r="B20" s="4"/>
      <c r="C20" s="4"/>
      <c r="D20" s="4"/>
      <c r="E20" s="4"/>
      <c r="F20" s="4"/>
    </row>
    <row r="21" spans="1:6" ht="15">
      <c r="A21" s="59" t="s">
        <v>55</v>
      </c>
      <c r="B21" s="59"/>
      <c r="C21" s="59"/>
      <c r="D21" s="59"/>
      <c r="E21" s="59"/>
      <c r="F21" s="59"/>
    </row>
    <row r="22" spans="1:6" ht="15">
      <c r="A22" s="6" t="s">
        <v>11</v>
      </c>
      <c r="B22" s="6" t="s">
        <v>12</v>
      </c>
      <c r="C22" s="6" t="s">
        <v>25</v>
      </c>
      <c r="D22" s="6" t="s">
        <v>6</v>
      </c>
      <c r="E22" s="6" t="s">
        <v>14</v>
      </c>
      <c r="F22" s="6" t="s">
        <v>15</v>
      </c>
    </row>
    <row r="23" spans="1:6">
      <c r="A23" s="4" t="s">
        <v>23</v>
      </c>
      <c r="B23" s="4" t="s">
        <v>24</v>
      </c>
      <c r="C23" s="4" t="s">
        <v>26</v>
      </c>
      <c r="D23" s="4" t="s">
        <v>34</v>
      </c>
      <c r="E23" s="4" t="s">
        <v>33</v>
      </c>
      <c r="F23" s="4" t="s">
        <v>31</v>
      </c>
    </row>
    <row r="24" spans="1:6">
      <c r="A24" s="4" t="s">
        <v>23</v>
      </c>
      <c r="B24" s="4" t="s">
        <v>27</v>
      </c>
      <c r="C24" s="4" t="s">
        <v>28</v>
      </c>
      <c r="D24" s="4" t="s">
        <v>34</v>
      </c>
      <c r="E24" s="4" t="s">
        <v>33</v>
      </c>
      <c r="F24" s="4" t="s">
        <v>31</v>
      </c>
    </row>
    <row r="25" spans="1:6">
      <c r="A25" s="4" t="s">
        <v>23</v>
      </c>
      <c r="B25" s="4" t="s">
        <v>29</v>
      </c>
      <c r="C25" s="4" t="s">
        <v>30</v>
      </c>
      <c r="D25" s="4" t="s">
        <v>34</v>
      </c>
      <c r="E25" s="4" t="s">
        <v>33</v>
      </c>
      <c r="F25" s="4" t="s">
        <v>31</v>
      </c>
    </row>
    <row r="26" spans="1:6">
      <c r="A26" s="4" t="s">
        <v>23</v>
      </c>
      <c r="B26" s="4" t="s">
        <v>35</v>
      </c>
      <c r="C26" s="4" t="s">
        <v>36</v>
      </c>
      <c r="D26" s="4" t="s">
        <v>34</v>
      </c>
      <c r="E26" s="4" t="s">
        <v>33</v>
      </c>
      <c r="F26" s="4" t="s">
        <v>31</v>
      </c>
    </row>
    <row r="27" spans="1:6">
      <c r="A27" s="4" t="s">
        <v>39</v>
      </c>
      <c r="B27" s="4" t="s">
        <v>47</v>
      </c>
      <c r="C27" s="4" t="s">
        <v>48</v>
      </c>
      <c r="D27" s="4" t="s">
        <v>34</v>
      </c>
      <c r="E27" s="4" t="s">
        <v>33</v>
      </c>
      <c r="F27" s="4" t="s">
        <v>31</v>
      </c>
    </row>
    <row r="28" spans="1:6">
      <c r="A28" s="4"/>
      <c r="B28" s="4"/>
      <c r="C28" s="4"/>
      <c r="D28" s="4"/>
      <c r="E28" s="4"/>
      <c r="F28" s="4"/>
    </row>
    <row r="29" spans="1:6">
      <c r="A29" s="4"/>
      <c r="B29" s="4"/>
      <c r="C29" s="4"/>
      <c r="D29" s="4"/>
      <c r="E29" s="4"/>
      <c r="F29" s="4"/>
    </row>
    <row r="30" spans="1:6" ht="15">
      <c r="A30" s="59" t="s">
        <v>806</v>
      </c>
      <c r="B30" s="59"/>
      <c r="C30" s="59"/>
      <c r="D30" s="59"/>
      <c r="E30" s="59"/>
      <c r="F30" s="59"/>
    </row>
    <row r="31" spans="1:6" ht="15">
      <c r="A31" s="6" t="s">
        <v>11</v>
      </c>
      <c r="B31" s="6" t="s">
        <v>12</v>
      </c>
      <c r="C31" s="6" t="s">
        <v>25</v>
      </c>
      <c r="D31" s="6" t="s">
        <v>6</v>
      </c>
      <c r="E31" s="6" t="s">
        <v>14</v>
      </c>
      <c r="F31" s="6" t="s">
        <v>15</v>
      </c>
    </row>
    <row r="32" spans="1:6">
      <c r="A32" s="4" t="s">
        <v>50</v>
      </c>
      <c r="B32" s="4" t="s">
        <v>51</v>
      </c>
      <c r="C32" s="4" t="s">
        <v>52</v>
      </c>
      <c r="D32" s="4" t="s">
        <v>53</v>
      </c>
      <c r="E32" s="4" t="s">
        <v>33</v>
      </c>
      <c r="F32" s="4" t="s">
        <v>61</v>
      </c>
    </row>
    <row r="33" spans="1:6">
      <c r="A33" s="4" t="s">
        <v>50</v>
      </c>
      <c r="B33" s="4" t="s">
        <v>20</v>
      </c>
      <c r="C33" s="4" t="s">
        <v>189</v>
      </c>
      <c r="D33" s="4" t="s">
        <v>54</v>
      </c>
      <c r="E33" s="4" t="s">
        <v>33</v>
      </c>
      <c r="F33" s="4"/>
    </row>
    <row r="34" spans="1:6">
      <c r="A34" s="4"/>
      <c r="B34" s="4"/>
      <c r="C34" s="4" t="s">
        <v>56</v>
      </c>
      <c r="D34" s="4"/>
      <c r="E34" s="4"/>
      <c r="F34" s="4"/>
    </row>
    <row r="35" spans="1:6">
      <c r="A35" s="4" t="s">
        <v>50</v>
      </c>
      <c r="B35" s="4" t="s">
        <v>57</v>
      </c>
      <c r="C35" s="4" t="s">
        <v>60</v>
      </c>
      <c r="D35" s="4" t="s">
        <v>53</v>
      </c>
      <c r="E35" s="4"/>
      <c r="F35" s="4" t="s">
        <v>62</v>
      </c>
    </row>
    <row r="36" spans="1:6">
      <c r="A36" s="4"/>
      <c r="B36" s="4"/>
      <c r="C36" s="4"/>
      <c r="D36" s="4"/>
      <c r="E36" s="4"/>
      <c r="F36" s="4"/>
    </row>
    <row r="37" spans="1:6" ht="15">
      <c r="A37" s="59" t="s">
        <v>63</v>
      </c>
      <c r="B37" s="59"/>
      <c r="C37" s="59"/>
      <c r="D37" s="59"/>
      <c r="E37" s="59"/>
      <c r="F37" s="59"/>
    </row>
    <row r="38" spans="1:6" ht="15">
      <c r="A38" s="6" t="s">
        <v>11</v>
      </c>
      <c r="B38" s="6" t="s">
        <v>12</v>
      </c>
      <c r="C38" s="6" t="s">
        <v>25</v>
      </c>
      <c r="D38" s="6" t="s">
        <v>6</v>
      </c>
      <c r="E38" s="6" t="s">
        <v>14</v>
      </c>
      <c r="F38" s="6" t="s">
        <v>15</v>
      </c>
    </row>
    <row r="39" spans="1:6">
      <c r="A39" s="4" t="s">
        <v>64</v>
      </c>
      <c r="B39" s="4" t="s">
        <v>21</v>
      </c>
      <c r="C39" s="4" t="s">
        <v>67</v>
      </c>
      <c r="D39" s="4" t="s">
        <v>807</v>
      </c>
      <c r="E39" s="4" t="s">
        <v>33</v>
      </c>
      <c r="F39" s="60" t="s">
        <v>70</v>
      </c>
    </row>
    <row r="40" spans="1:6">
      <c r="A40" s="4" t="s">
        <v>64</v>
      </c>
      <c r="B40" s="4" t="s">
        <v>22</v>
      </c>
      <c r="C40" s="4" t="s">
        <v>67</v>
      </c>
      <c r="D40" s="4" t="s">
        <v>807</v>
      </c>
      <c r="E40" s="4" t="s">
        <v>33</v>
      </c>
      <c r="F40" s="60"/>
    </row>
    <row r="41" spans="1:6">
      <c r="A41" s="4" t="s">
        <v>64</v>
      </c>
      <c r="B41" s="4" t="s">
        <v>65</v>
      </c>
      <c r="C41" s="4" t="s">
        <v>68</v>
      </c>
      <c r="D41" s="4" t="s">
        <v>807</v>
      </c>
      <c r="E41" s="4" t="s">
        <v>33</v>
      </c>
      <c r="F41" s="60"/>
    </row>
    <row r="42" spans="1:6">
      <c r="A42" s="4" t="s">
        <v>64</v>
      </c>
      <c r="B42" s="4" t="s">
        <v>66</v>
      </c>
      <c r="C42" s="4" t="s">
        <v>69</v>
      </c>
      <c r="D42" s="4" t="s">
        <v>807</v>
      </c>
      <c r="E42" s="4" t="s">
        <v>33</v>
      </c>
      <c r="F42" s="60"/>
    </row>
    <row r="45" spans="1:6">
      <c r="A45" t="s">
        <v>104</v>
      </c>
    </row>
    <row r="46" spans="1:6">
      <c r="A46" s="2"/>
    </row>
    <row r="47" spans="1:6">
      <c r="A47" s="2"/>
    </row>
  </sheetData>
  <mergeCells count="6">
    <mergeCell ref="A30:F30"/>
    <mergeCell ref="A37:F37"/>
    <mergeCell ref="F39:F42"/>
    <mergeCell ref="A1:F1"/>
    <mergeCell ref="A3:F3"/>
    <mergeCell ref="A21:F21"/>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7066-92BD-42C0-87EC-F947634CA1FC}">
  <dimension ref="A1:J121"/>
  <sheetViews>
    <sheetView topLeftCell="H65" workbookViewId="0">
      <selection activeCell="I83" sqref="I83"/>
    </sheetView>
  </sheetViews>
  <sheetFormatPr defaultRowHeight="14.25"/>
  <cols>
    <col min="1" max="1" width="72" bestFit="1" customWidth="1"/>
    <col min="2" max="2" width="42" bestFit="1" customWidth="1"/>
    <col min="3" max="3" width="32.5" bestFit="1" customWidth="1"/>
    <col min="4" max="4" width="34.25" bestFit="1" customWidth="1"/>
    <col min="5" max="5" width="61.625" bestFit="1" customWidth="1"/>
    <col min="6" max="6" width="154.125" bestFit="1" customWidth="1"/>
    <col min="7" max="7" width="139.75" bestFit="1" customWidth="1"/>
    <col min="8" max="8" width="154.125" bestFit="1" customWidth="1"/>
    <col min="9" max="9" width="38.625" bestFit="1" customWidth="1"/>
    <col min="10" max="10" width="62" bestFit="1" customWidth="1"/>
  </cols>
  <sheetData>
    <row r="1" spans="1:6" ht="15">
      <c r="A1" s="3" t="s">
        <v>835</v>
      </c>
      <c r="B1" s="3" t="s">
        <v>833</v>
      </c>
    </row>
    <row r="2" spans="1:6" ht="242.25">
      <c r="A2" s="5" t="s">
        <v>809</v>
      </c>
      <c r="B2" s="5" t="s">
        <v>834</v>
      </c>
    </row>
    <row r="3" spans="1:6">
      <c r="A3" s="2"/>
    </row>
    <row r="4" spans="1:6" ht="15">
      <c r="A4" s="59" t="s">
        <v>218</v>
      </c>
      <c r="B4" s="59"/>
      <c r="C4" s="59"/>
      <c r="D4" s="59"/>
      <c r="E4" s="59"/>
      <c r="F4" s="59"/>
    </row>
    <row r="5" spans="1:6" ht="15">
      <c r="A5" s="3" t="s">
        <v>72</v>
      </c>
      <c r="B5" s="3" t="s">
        <v>73</v>
      </c>
      <c r="C5" s="3" t="s">
        <v>74</v>
      </c>
      <c r="D5" s="3" t="s">
        <v>89</v>
      </c>
      <c r="E5" s="3" t="s">
        <v>7</v>
      </c>
      <c r="F5" s="3" t="s">
        <v>75</v>
      </c>
    </row>
    <row r="6" spans="1:6">
      <c r="A6" s="4" t="s">
        <v>200</v>
      </c>
      <c r="B6" s="4" t="s">
        <v>810</v>
      </c>
      <c r="C6" s="4">
        <f>C22/1000</f>
        <v>7</v>
      </c>
      <c r="D6" s="4" t="s">
        <v>205</v>
      </c>
      <c r="E6" s="4" t="s">
        <v>211</v>
      </c>
      <c r="F6" s="4" t="s">
        <v>100</v>
      </c>
    </row>
    <row r="7" spans="1:6">
      <c r="A7" s="4" t="s">
        <v>201</v>
      </c>
      <c r="B7" s="4" t="s">
        <v>811</v>
      </c>
      <c r="C7" s="4">
        <v>483</v>
      </c>
      <c r="D7" s="4" t="s">
        <v>205</v>
      </c>
      <c r="E7" s="4" t="s">
        <v>212</v>
      </c>
      <c r="F7" s="4" t="s">
        <v>210</v>
      </c>
    </row>
    <row r="8" spans="1:6">
      <c r="A8" s="4" t="s">
        <v>202</v>
      </c>
      <c r="B8" s="4" t="s">
        <v>208</v>
      </c>
      <c r="C8" s="4">
        <v>0.72</v>
      </c>
      <c r="D8" s="4" t="s">
        <v>16</v>
      </c>
      <c r="E8" s="4" t="s">
        <v>213</v>
      </c>
      <c r="F8" s="4" t="s">
        <v>210</v>
      </c>
    </row>
    <row r="9" spans="1:6">
      <c r="A9" s="4" t="s">
        <v>86</v>
      </c>
      <c r="B9" s="4" t="s">
        <v>207</v>
      </c>
      <c r="C9" s="4">
        <v>1</v>
      </c>
      <c r="D9" s="4" t="s">
        <v>16</v>
      </c>
      <c r="E9" s="4" t="s">
        <v>214</v>
      </c>
      <c r="F9" s="4"/>
    </row>
    <row r="10" spans="1:6">
      <c r="A10" s="4" t="s">
        <v>203</v>
      </c>
      <c r="B10" s="4" t="s">
        <v>209</v>
      </c>
      <c r="C10" s="4">
        <v>1</v>
      </c>
      <c r="D10" s="4" t="s">
        <v>16</v>
      </c>
      <c r="E10" s="4" t="s">
        <v>216</v>
      </c>
      <c r="F10" s="4" t="s">
        <v>215</v>
      </c>
    </row>
    <row r="11" spans="1:6">
      <c r="A11" s="4" t="s">
        <v>204</v>
      </c>
      <c r="B11" s="4" t="s">
        <v>812</v>
      </c>
      <c r="C11" s="4">
        <v>1</v>
      </c>
      <c r="D11" s="4" t="s">
        <v>16</v>
      </c>
      <c r="E11" s="4" t="s">
        <v>217</v>
      </c>
      <c r="F11" s="4" t="s">
        <v>215</v>
      </c>
    </row>
    <row r="15" spans="1:6">
      <c r="A15" s="16"/>
    </row>
    <row r="16" spans="1:6">
      <c r="A16" s="16"/>
    </row>
    <row r="18" spans="1:7" ht="15">
      <c r="A18" s="62" t="s">
        <v>122</v>
      </c>
      <c r="B18" s="63"/>
      <c r="C18" s="63"/>
      <c r="D18" s="63"/>
      <c r="E18" s="63"/>
      <c r="F18" s="63"/>
      <c r="G18" s="64"/>
    </row>
    <row r="19" spans="1:7" ht="15">
      <c r="A19" s="3" t="s">
        <v>72</v>
      </c>
      <c r="B19" s="3" t="s">
        <v>73</v>
      </c>
      <c r="C19" s="3" t="s">
        <v>74</v>
      </c>
      <c r="D19" s="3" t="s">
        <v>89</v>
      </c>
      <c r="E19" s="3" t="s">
        <v>123</v>
      </c>
      <c r="F19" s="3" t="s">
        <v>7</v>
      </c>
      <c r="G19" s="3" t="s">
        <v>75</v>
      </c>
    </row>
    <row r="20" spans="1:7">
      <c r="A20" s="4" t="s">
        <v>77</v>
      </c>
      <c r="B20" s="4" t="s">
        <v>126</v>
      </c>
      <c r="C20" s="4">
        <v>288.7</v>
      </c>
      <c r="D20" s="4" t="s">
        <v>91</v>
      </c>
      <c r="E20" s="4" t="s">
        <v>139</v>
      </c>
      <c r="F20" s="5" t="s">
        <v>147</v>
      </c>
      <c r="G20" s="4"/>
    </row>
    <row r="21" spans="1:7">
      <c r="A21" s="4" t="s">
        <v>78</v>
      </c>
      <c r="B21" s="4" t="s">
        <v>127</v>
      </c>
      <c r="C21" s="4">
        <v>101.325</v>
      </c>
      <c r="D21" s="4" t="s">
        <v>109</v>
      </c>
      <c r="E21" s="4" t="s">
        <v>139</v>
      </c>
      <c r="F21" s="4" t="s">
        <v>94</v>
      </c>
      <c r="G21" s="4"/>
    </row>
    <row r="22" spans="1:7">
      <c r="A22" s="4" t="s">
        <v>79</v>
      </c>
      <c r="B22" s="4" t="s">
        <v>92</v>
      </c>
      <c r="C22" s="4">
        <v>7000</v>
      </c>
      <c r="D22" s="4" t="s">
        <v>109</v>
      </c>
      <c r="E22" s="4" t="s">
        <v>139</v>
      </c>
      <c r="F22" s="4" t="s">
        <v>145</v>
      </c>
      <c r="G22" s="4" t="s">
        <v>33</v>
      </c>
    </row>
    <row r="23" spans="1:7">
      <c r="A23" s="4" t="s">
        <v>80</v>
      </c>
      <c r="B23" s="4" t="s">
        <v>93</v>
      </c>
      <c r="C23" s="4">
        <v>2800</v>
      </c>
      <c r="D23" s="4" t="s">
        <v>109</v>
      </c>
      <c r="E23" s="4" t="s">
        <v>139</v>
      </c>
      <c r="F23" s="4" t="s">
        <v>144</v>
      </c>
      <c r="G23" s="4" t="s">
        <v>33</v>
      </c>
    </row>
    <row r="24" spans="1:7">
      <c r="A24" s="4" t="s">
        <v>81</v>
      </c>
      <c r="B24" s="4" t="s">
        <v>128</v>
      </c>
      <c r="C24" s="4">
        <v>2</v>
      </c>
      <c r="D24" s="4" t="s">
        <v>96</v>
      </c>
      <c r="E24" s="4" t="s">
        <v>139</v>
      </c>
      <c r="F24" s="60" t="s">
        <v>146</v>
      </c>
      <c r="G24" s="4"/>
    </row>
    <row r="25" spans="1:7">
      <c r="A25" s="4" t="s">
        <v>82</v>
      </c>
      <c r="B25" s="4" t="s">
        <v>129</v>
      </c>
      <c r="C25" s="4">
        <v>1</v>
      </c>
      <c r="D25" s="4" t="s">
        <v>96</v>
      </c>
      <c r="E25" s="4" t="s">
        <v>139</v>
      </c>
      <c r="F25" s="60"/>
      <c r="G25" s="4"/>
    </row>
    <row r="26" spans="1:7">
      <c r="A26" s="4" t="s">
        <v>83</v>
      </c>
      <c r="B26" s="4" t="s">
        <v>136</v>
      </c>
      <c r="C26" s="4">
        <v>288.7</v>
      </c>
      <c r="D26" s="4" t="s">
        <v>91</v>
      </c>
      <c r="E26" s="4" t="s">
        <v>139</v>
      </c>
      <c r="F26" s="5" t="s">
        <v>147</v>
      </c>
      <c r="G26" s="4" t="s">
        <v>98</v>
      </c>
    </row>
    <row r="27" spans="1:7">
      <c r="A27" s="4" t="s">
        <v>84</v>
      </c>
      <c r="B27" s="4" t="s">
        <v>190</v>
      </c>
      <c r="C27" s="4">
        <v>1.03</v>
      </c>
      <c r="D27" s="4" t="s">
        <v>16</v>
      </c>
      <c r="E27" s="4" t="s">
        <v>139</v>
      </c>
      <c r="F27" s="4" t="s">
        <v>148</v>
      </c>
      <c r="G27" s="4" t="s">
        <v>99</v>
      </c>
    </row>
    <row r="28" spans="1:7">
      <c r="A28" s="4" t="s">
        <v>85</v>
      </c>
      <c r="B28" s="4" t="s">
        <v>130</v>
      </c>
      <c r="C28" s="4">
        <v>6.9599999999999995E-2</v>
      </c>
      <c r="D28" s="4" t="s">
        <v>16</v>
      </c>
      <c r="E28" s="4" t="s">
        <v>139</v>
      </c>
      <c r="F28" s="4" t="s">
        <v>149</v>
      </c>
      <c r="G28" s="4" t="s">
        <v>102</v>
      </c>
    </row>
    <row r="29" spans="1:7">
      <c r="A29" s="4" t="s">
        <v>86</v>
      </c>
      <c r="B29" s="4" t="s">
        <v>813</v>
      </c>
      <c r="C29" s="4">
        <v>250</v>
      </c>
      <c r="D29" s="4" t="s">
        <v>97</v>
      </c>
      <c r="E29" s="4" t="s">
        <v>139</v>
      </c>
      <c r="F29" s="5" t="s">
        <v>150</v>
      </c>
      <c r="G29" s="4" t="s">
        <v>101</v>
      </c>
    </row>
    <row r="30" spans="1:7">
      <c r="A30" s="4" t="s">
        <v>88</v>
      </c>
      <c r="B30" s="4" t="s">
        <v>131</v>
      </c>
      <c r="C30" s="4">
        <v>9.4000000000000004E-3</v>
      </c>
      <c r="D30" s="4" t="s">
        <v>16</v>
      </c>
      <c r="E30" s="4" t="s">
        <v>139</v>
      </c>
      <c r="F30" s="5" t="s">
        <v>151</v>
      </c>
      <c r="G30" s="4" t="s">
        <v>33</v>
      </c>
    </row>
    <row r="31" spans="1:7">
      <c r="A31" s="4" t="s">
        <v>108</v>
      </c>
      <c r="B31" s="4" t="s">
        <v>132</v>
      </c>
      <c r="C31" s="4">
        <v>8.3140000000000001</v>
      </c>
      <c r="D31" s="4" t="s">
        <v>624</v>
      </c>
      <c r="E31" s="4" t="s">
        <v>140</v>
      </c>
      <c r="F31" s="4"/>
      <c r="G31" s="4" t="s">
        <v>33</v>
      </c>
    </row>
    <row r="32" spans="1:7">
      <c r="A32" s="4" t="s">
        <v>124</v>
      </c>
      <c r="B32" s="4" t="s">
        <v>133</v>
      </c>
      <c r="C32" s="4">
        <v>8.3400000000000002E-2</v>
      </c>
      <c r="D32" s="4" t="s">
        <v>137</v>
      </c>
      <c r="E32" s="4" t="s">
        <v>141</v>
      </c>
      <c r="F32" s="4" t="s">
        <v>152</v>
      </c>
      <c r="G32" s="4" t="s">
        <v>33</v>
      </c>
    </row>
    <row r="33" spans="1:9">
      <c r="A33" s="4" t="s">
        <v>125</v>
      </c>
      <c r="B33" s="4" t="s">
        <v>134</v>
      </c>
      <c r="C33" s="4">
        <v>365</v>
      </c>
      <c r="D33" s="4" t="s">
        <v>142</v>
      </c>
      <c r="E33" s="4" t="s">
        <v>143</v>
      </c>
      <c r="F33" s="4" t="s">
        <v>153</v>
      </c>
      <c r="G33" s="4"/>
    </row>
    <row r="34" spans="1:9">
      <c r="A34" s="1"/>
      <c r="B34" s="1"/>
      <c r="C34" s="1"/>
      <c r="D34" s="1"/>
      <c r="E34" s="1"/>
      <c r="F34" s="1"/>
      <c r="G34" s="1"/>
    </row>
    <row r="36" spans="1:9" ht="15">
      <c r="A36" s="62" t="s">
        <v>154</v>
      </c>
      <c r="B36" s="63"/>
      <c r="C36" s="63"/>
      <c r="D36" s="63"/>
      <c r="E36" s="63"/>
      <c r="F36" s="63"/>
      <c r="G36" s="64"/>
    </row>
    <row r="37" spans="1:9" ht="15">
      <c r="A37" s="3" t="s">
        <v>72</v>
      </c>
      <c r="B37" s="3" t="s">
        <v>73</v>
      </c>
      <c r="C37" s="3" t="s">
        <v>74</v>
      </c>
      <c r="D37" s="3" t="s">
        <v>89</v>
      </c>
      <c r="E37" s="3" t="s">
        <v>123</v>
      </c>
      <c r="F37" s="3" t="s">
        <v>7</v>
      </c>
      <c r="G37" s="3" t="s">
        <v>75</v>
      </c>
    </row>
    <row r="38" spans="1:9">
      <c r="A38" s="4" t="s">
        <v>110</v>
      </c>
      <c r="B38" s="4" t="s">
        <v>157</v>
      </c>
      <c r="C38" s="10">
        <f>0.0684*C28*((C25-C24)/(C26*C27))</f>
        <v>-1.6009631390801081E-5</v>
      </c>
      <c r="D38" s="4" t="s">
        <v>16</v>
      </c>
      <c r="E38" s="4" t="s">
        <v>232</v>
      </c>
      <c r="F38" s="4" t="s">
        <v>165</v>
      </c>
      <c r="G38" s="4" t="s">
        <v>95</v>
      </c>
    </row>
    <row r="39" spans="1:9">
      <c r="A39" s="4" t="s">
        <v>87</v>
      </c>
      <c r="B39" s="4" t="s">
        <v>158</v>
      </c>
      <c r="C39" s="9">
        <f>C29*((EXP(C38)-1)/C38)</f>
        <v>249.99799880656593</v>
      </c>
      <c r="D39" s="4" t="s">
        <v>97</v>
      </c>
      <c r="E39" s="4" t="s">
        <v>232</v>
      </c>
      <c r="F39" s="4" t="s">
        <v>166</v>
      </c>
      <c r="G39" s="4" t="s">
        <v>33</v>
      </c>
    </row>
    <row r="40" spans="1:9">
      <c r="A40" s="4" t="s">
        <v>105</v>
      </c>
      <c r="B40" s="4" t="s">
        <v>159</v>
      </c>
      <c r="C40" s="4">
        <f>(2/3)*(((C22^3)-(C23^3))/((C22^2)-(C23^2)))</f>
        <v>5200</v>
      </c>
      <c r="D40" s="4" t="s">
        <v>109</v>
      </c>
      <c r="E40" s="4" t="s">
        <v>232</v>
      </c>
      <c r="F40" s="4" t="s">
        <v>167</v>
      </c>
      <c r="G40" s="4" t="s">
        <v>100</v>
      </c>
    </row>
    <row r="41" spans="1:9">
      <c r="A41" s="4" t="s">
        <v>106</v>
      </c>
      <c r="B41" s="4" t="s">
        <v>160</v>
      </c>
      <c r="C41" s="12">
        <f>100*SQRT((0.05131*((C27*C31*C26)/(C28*C22))))</f>
        <v>51.026335696388934</v>
      </c>
      <c r="D41" s="4" t="s">
        <v>107</v>
      </c>
      <c r="E41" s="4" t="s">
        <v>232</v>
      </c>
      <c r="F41" s="4" t="s">
        <v>168</v>
      </c>
      <c r="G41" s="4" t="s">
        <v>33</v>
      </c>
    </row>
    <row r="42" spans="1:9">
      <c r="A42" s="4" t="s">
        <v>155</v>
      </c>
      <c r="B42" s="4" t="s">
        <v>161</v>
      </c>
      <c r="C42" s="4" t="s">
        <v>138</v>
      </c>
      <c r="D42" s="4" t="s">
        <v>163</v>
      </c>
      <c r="E42" s="4" t="s">
        <v>232</v>
      </c>
      <c r="F42" s="4"/>
      <c r="G42" s="4"/>
    </row>
    <row r="43" spans="1:9">
      <c r="A43" s="4" t="s">
        <v>156</v>
      </c>
      <c r="B43" s="4" t="s">
        <v>162</v>
      </c>
      <c r="C43" s="4" t="s">
        <v>138</v>
      </c>
      <c r="D43" s="4" t="s">
        <v>164</v>
      </c>
      <c r="E43" s="4" t="s">
        <v>232</v>
      </c>
      <c r="F43" s="4"/>
      <c r="G43" s="4"/>
    </row>
    <row r="44" spans="1:9">
      <c r="A44" s="1"/>
      <c r="B44" s="1"/>
      <c r="C44" s="1"/>
      <c r="D44" s="1"/>
      <c r="E44" s="1"/>
      <c r="F44" s="1"/>
      <c r="G44" s="1"/>
    </row>
    <row r="46" spans="1:9" ht="15">
      <c r="A46" s="59" t="s">
        <v>113</v>
      </c>
      <c r="B46" s="59"/>
      <c r="C46" s="59"/>
      <c r="D46" s="59"/>
      <c r="E46" s="59"/>
      <c r="F46" s="59"/>
      <c r="G46" s="59"/>
      <c r="H46" s="1"/>
    </row>
    <row r="47" spans="1:9" ht="15">
      <c r="A47" s="3" t="s">
        <v>814</v>
      </c>
      <c r="B47" s="3" t="s">
        <v>815</v>
      </c>
      <c r="C47" s="3" t="s">
        <v>621</v>
      </c>
      <c r="D47" s="3" t="s">
        <v>622</v>
      </c>
      <c r="E47" s="3" t="s">
        <v>620</v>
      </c>
      <c r="F47" s="3" t="s">
        <v>111</v>
      </c>
      <c r="G47" s="3" t="s">
        <v>173</v>
      </c>
      <c r="H47" s="35" t="s">
        <v>174</v>
      </c>
      <c r="I47" s="35" t="s">
        <v>175</v>
      </c>
    </row>
    <row r="48" spans="1:9">
      <c r="A48" s="4" t="s">
        <v>816</v>
      </c>
      <c r="B48" s="4">
        <v>8</v>
      </c>
      <c r="C48" s="4">
        <f t="shared" ref="C48:C60" si="0">B48*25.4</f>
        <v>203.2</v>
      </c>
      <c r="D48" s="12">
        <f t="shared" ref="D48:D60" si="1">($C$6*(B48*25.4))/(2*$C$7*$C$8*$C$9*$C$10*$C$11)</f>
        <v>2.045088566827697</v>
      </c>
      <c r="E48" s="12">
        <f t="shared" ref="E48:E60" si="2">D48+C48</f>
        <v>205.24508856682769</v>
      </c>
      <c r="F48" s="9">
        <f t="shared" ref="F48:F60" si="3">1.1494*(10^(-3))*($C$20/$C$21)*(((($C$22^2)-EXP($C$38)*($C$23^2))/($C$28*$C$26*$C$39*$C$27*$C$30))^0.5)*(C48^2.5)</f>
        <v>1773250.7471204193</v>
      </c>
      <c r="G48" s="9">
        <f>F48*0.0834</f>
        <v>147889.11230984298</v>
      </c>
      <c r="H48" s="43">
        <f t="shared" ref="H48:H60" si="4">G48*$C$33</f>
        <v>53979525.993092686</v>
      </c>
      <c r="I48" s="36">
        <f>H48/1000</f>
        <v>53979.525993092684</v>
      </c>
    </row>
    <row r="49" spans="1:9">
      <c r="A49" s="4" t="s">
        <v>817</v>
      </c>
      <c r="B49" s="4">
        <v>10</v>
      </c>
      <c r="C49" s="4">
        <f t="shared" si="0"/>
        <v>254</v>
      </c>
      <c r="D49" s="12">
        <f t="shared" si="1"/>
        <v>2.5563607085346218</v>
      </c>
      <c r="E49" s="12">
        <f t="shared" si="2"/>
        <v>256.55636070853461</v>
      </c>
      <c r="F49" s="9">
        <f t="shared" si="3"/>
        <v>3097741.5716512068</v>
      </c>
      <c r="G49" s="9">
        <f t="shared" ref="G49:G60" si="5">F49*0.0834</f>
        <v>258351.64707571064</v>
      </c>
      <c r="H49" s="43">
        <f t="shared" si="4"/>
        <v>94298351.182634383</v>
      </c>
      <c r="I49" s="36">
        <f t="shared" ref="I49:I60" si="6">H49/1000</f>
        <v>94298.351182634389</v>
      </c>
    </row>
    <row r="50" spans="1:9">
      <c r="A50" s="4" t="s">
        <v>818</v>
      </c>
      <c r="B50" s="4">
        <v>12</v>
      </c>
      <c r="C50" s="4">
        <f t="shared" si="0"/>
        <v>304.79999999999995</v>
      </c>
      <c r="D50" s="12">
        <f t="shared" si="1"/>
        <v>3.0676328502415453</v>
      </c>
      <c r="E50" s="12">
        <f t="shared" si="2"/>
        <v>307.86763285024148</v>
      </c>
      <c r="F50" s="9">
        <f t="shared" si="3"/>
        <v>4886504.4560108334</v>
      </c>
      <c r="G50" s="9">
        <f t="shared" si="5"/>
        <v>407534.47163130349</v>
      </c>
      <c r="H50" s="43">
        <f t="shared" si="4"/>
        <v>148750082.14542577</v>
      </c>
      <c r="I50" s="36">
        <f t="shared" si="6"/>
        <v>148750.08214542575</v>
      </c>
    </row>
    <row r="51" spans="1:9">
      <c r="A51" s="4" t="s">
        <v>819</v>
      </c>
      <c r="B51" s="4">
        <v>14</v>
      </c>
      <c r="C51" s="4">
        <f t="shared" si="0"/>
        <v>355.59999999999997</v>
      </c>
      <c r="D51" s="12">
        <f t="shared" si="1"/>
        <v>3.5789049919484701</v>
      </c>
      <c r="E51" s="12">
        <f t="shared" si="2"/>
        <v>359.17890499194846</v>
      </c>
      <c r="F51" s="9">
        <f t="shared" si="3"/>
        <v>7183982.6238426678</v>
      </c>
      <c r="G51" s="9">
        <f t="shared" si="5"/>
        <v>599144.15082847851</v>
      </c>
      <c r="H51" s="43">
        <f t="shared" si="4"/>
        <v>218687615.05239466</v>
      </c>
      <c r="I51" s="36">
        <f t="shared" si="6"/>
        <v>218687.61505239466</v>
      </c>
    </row>
    <row r="52" spans="1:9">
      <c r="A52" s="4" t="s">
        <v>820</v>
      </c>
      <c r="B52" s="4">
        <v>16</v>
      </c>
      <c r="C52" s="4">
        <f t="shared" si="0"/>
        <v>406.4</v>
      </c>
      <c r="D52" s="12">
        <f t="shared" si="1"/>
        <v>4.090177133655394</v>
      </c>
      <c r="E52" s="12">
        <f t="shared" si="2"/>
        <v>410.49017713365538</v>
      </c>
      <c r="F52" s="9">
        <f t="shared" si="3"/>
        <v>10031021.024263676</v>
      </c>
      <c r="G52" s="9">
        <f t="shared" si="5"/>
        <v>836587.15342359059</v>
      </c>
      <c r="H52" s="43">
        <f t="shared" si="4"/>
        <v>305354310.99961054</v>
      </c>
      <c r="I52" s="36">
        <f t="shared" si="6"/>
        <v>305354.31099961052</v>
      </c>
    </row>
    <row r="53" spans="1:9">
      <c r="A53" s="4" t="s">
        <v>821</v>
      </c>
      <c r="B53" s="4">
        <v>18</v>
      </c>
      <c r="C53" s="4">
        <f t="shared" si="0"/>
        <v>457.2</v>
      </c>
      <c r="D53" s="12">
        <f t="shared" si="1"/>
        <v>4.6014492753623193</v>
      </c>
      <c r="E53" s="12">
        <f t="shared" si="2"/>
        <v>461.8014492753623</v>
      </c>
      <c r="F53" s="9">
        <f t="shared" si="3"/>
        <v>13465622.860945662</v>
      </c>
      <c r="G53" s="9">
        <f t="shared" si="5"/>
        <v>1123032.9466028684</v>
      </c>
      <c r="H53" s="43">
        <f t="shared" si="4"/>
        <v>409907025.51004696</v>
      </c>
      <c r="I53" s="36">
        <f t="shared" si="6"/>
        <v>409907.02551004698</v>
      </c>
    </row>
    <row r="54" spans="1:9">
      <c r="A54" s="4" t="s">
        <v>822</v>
      </c>
      <c r="B54" s="4">
        <v>20</v>
      </c>
      <c r="C54" s="4">
        <f t="shared" si="0"/>
        <v>508</v>
      </c>
      <c r="D54" s="12">
        <f t="shared" si="1"/>
        <v>5.1127214170692437</v>
      </c>
      <c r="E54" s="12">
        <f t="shared" si="2"/>
        <v>513.11272141706922</v>
      </c>
      <c r="F54" s="9">
        <f t="shared" si="3"/>
        <v>17523472.573424354</v>
      </c>
      <c r="G54" s="9">
        <f t="shared" si="5"/>
        <v>1461457.6126235912</v>
      </c>
      <c r="H54" s="43">
        <f t="shared" si="4"/>
        <v>533432028.60761076</v>
      </c>
      <c r="I54" s="36">
        <f t="shared" si="6"/>
        <v>533432.02860761073</v>
      </c>
    </row>
    <row r="55" spans="1:9">
      <c r="A55" s="4" t="s">
        <v>823</v>
      </c>
      <c r="B55" s="4">
        <v>22</v>
      </c>
      <c r="C55" s="4">
        <f t="shared" si="0"/>
        <v>558.79999999999995</v>
      </c>
      <c r="D55" s="12">
        <f t="shared" si="1"/>
        <v>5.6239935587761671</v>
      </c>
      <c r="E55" s="12">
        <f t="shared" si="2"/>
        <v>564.42399355877615</v>
      </c>
      <c r="F55" s="9">
        <f t="shared" si="3"/>
        <v>22238315.433666032</v>
      </c>
      <c r="G55" s="9">
        <f t="shared" si="5"/>
        <v>1854675.507167747</v>
      </c>
      <c r="H55" s="43">
        <f t="shared" si="4"/>
        <v>676956560.11622763</v>
      </c>
      <c r="I55" s="36">
        <f t="shared" si="6"/>
        <v>676956.5601162276</v>
      </c>
    </row>
    <row r="56" spans="1:9">
      <c r="A56" s="4" t="s">
        <v>824</v>
      </c>
      <c r="B56" s="4">
        <v>24</v>
      </c>
      <c r="C56" s="4">
        <f t="shared" si="0"/>
        <v>609.59999999999991</v>
      </c>
      <c r="D56" s="12">
        <f t="shared" si="1"/>
        <v>6.1352657004830906</v>
      </c>
      <c r="E56" s="12">
        <f t="shared" si="2"/>
        <v>615.73526570048296</v>
      </c>
      <c r="F56" s="9">
        <f t="shared" si="3"/>
        <v>27642243.49714832</v>
      </c>
      <c r="G56" s="9">
        <f t="shared" si="5"/>
        <v>2305363.1076621697</v>
      </c>
      <c r="H56" s="43">
        <f t="shared" si="4"/>
        <v>841457534.29669189</v>
      </c>
      <c r="I56" s="36">
        <f t="shared" si="6"/>
        <v>841457.53429669188</v>
      </c>
    </row>
    <row r="57" spans="1:9">
      <c r="A57" s="4" t="s">
        <v>825</v>
      </c>
      <c r="B57" s="4">
        <v>26</v>
      </c>
      <c r="C57" s="4">
        <f t="shared" si="0"/>
        <v>660.4</v>
      </c>
      <c r="D57" s="12">
        <f t="shared" si="1"/>
        <v>6.6465378421900168</v>
      </c>
      <c r="E57" s="12">
        <f t="shared" si="2"/>
        <v>667.04653784218999</v>
      </c>
      <c r="F57" s="9">
        <f t="shared" si="3"/>
        <v>33765917.416143112</v>
      </c>
      <c r="G57" s="9">
        <f t="shared" si="5"/>
        <v>2816077.5125063355</v>
      </c>
      <c r="H57" s="43">
        <f t="shared" si="4"/>
        <v>1027868292.0648124</v>
      </c>
      <c r="I57" s="36">
        <f t="shared" si="6"/>
        <v>1027868.2920648124</v>
      </c>
    </row>
    <row r="58" spans="1:9">
      <c r="A58" s="4" t="s">
        <v>826</v>
      </c>
      <c r="B58" s="4">
        <v>28</v>
      </c>
      <c r="C58" s="4">
        <f t="shared" si="0"/>
        <v>711.19999999999993</v>
      </c>
      <c r="D58" s="12">
        <f t="shared" si="1"/>
        <v>7.1578099838969402</v>
      </c>
      <c r="E58" s="12">
        <f t="shared" si="2"/>
        <v>718.35780998389691</v>
      </c>
      <c r="F58" s="9">
        <f t="shared" si="3"/>
        <v>40638742.633963786</v>
      </c>
      <c r="G58" s="9">
        <f t="shared" si="5"/>
        <v>3389271.13567258</v>
      </c>
      <c r="H58" s="43">
        <f t="shared" si="4"/>
        <v>1237083964.5204916</v>
      </c>
      <c r="I58" s="36">
        <f t="shared" si="6"/>
        <v>1237083.9645204917</v>
      </c>
    </row>
    <row r="59" spans="1:9">
      <c r="A59" s="4" t="s">
        <v>827</v>
      </c>
      <c r="B59" s="4">
        <v>30</v>
      </c>
      <c r="C59" s="4">
        <f t="shared" si="0"/>
        <v>762</v>
      </c>
      <c r="D59" s="12">
        <f t="shared" si="1"/>
        <v>7.6690821256038646</v>
      </c>
      <c r="E59" s="12">
        <f t="shared" si="2"/>
        <v>769.66908212560384</v>
      </c>
      <c r="F59" s="9">
        <f t="shared" si="3"/>
        <v>48289012.117363468</v>
      </c>
      <c r="G59" s="9">
        <f t="shared" si="5"/>
        <v>4027303.6105881133</v>
      </c>
      <c r="H59" s="43">
        <f t="shared" si="4"/>
        <v>1469965817.8646615</v>
      </c>
      <c r="I59" s="36">
        <f t="shared" si="6"/>
        <v>1469965.8178646616</v>
      </c>
    </row>
    <row r="60" spans="1:9">
      <c r="A60" s="4" t="s">
        <v>828</v>
      </c>
      <c r="B60" s="4">
        <v>32</v>
      </c>
      <c r="C60" s="4">
        <f t="shared" si="0"/>
        <v>812.8</v>
      </c>
      <c r="D60" s="12">
        <f t="shared" si="1"/>
        <v>8.1803542673107881</v>
      </c>
      <c r="E60" s="12">
        <f t="shared" si="2"/>
        <v>820.98035426731076</v>
      </c>
      <c r="F60" s="9">
        <f t="shared" si="3"/>
        <v>56744023.907853439</v>
      </c>
      <c r="G60" s="9">
        <f t="shared" si="5"/>
        <v>4732451.5939149773</v>
      </c>
      <c r="H60" s="43">
        <f t="shared" si="4"/>
        <v>1727344831.7789667</v>
      </c>
      <c r="I60" s="36">
        <f t="shared" si="6"/>
        <v>1727344.8317789666</v>
      </c>
    </row>
    <row r="61" spans="1:9">
      <c r="A61" s="21"/>
      <c r="B61" s="23"/>
      <c r="C61" s="23"/>
      <c r="D61" s="22"/>
      <c r="E61" s="22"/>
      <c r="F61" s="24"/>
      <c r="G61" s="24"/>
      <c r="H61" s="24"/>
      <c r="I61" s="36"/>
    </row>
    <row r="62" spans="1:9">
      <c r="A62" s="21"/>
      <c r="B62" s="23"/>
      <c r="C62" s="22"/>
      <c r="D62" s="22"/>
      <c r="E62" s="23"/>
      <c r="F62" s="24"/>
      <c r="G62" s="24"/>
      <c r="H62" s="24"/>
      <c r="I62" s="36"/>
    </row>
    <row r="63" spans="1:9" ht="15">
      <c r="A63" s="62" t="s">
        <v>120</v>
      </c>
      <c r="B63" s="63"/>
      <c r="C63" s="63"/>
      <c r="D63" s="63"/>
      <c r="E63" s="63"/>
      <c r="F63" s="63"/>
      <c r="G63" s="63"/>
      <c r="H63" s="63"/>
      <c r="I63" s="64"/>
    </row>
    <row r="64" spans="1:9" ht="15">
      <c r="A64" s="3" t="s">
        <v>832</v>
      </c>
      <c r="B64" s="3" t="s">
        <v>173</v>
      </c>
      <c r="C64" s="3" t="s">
        <v>114</v>
      </c>
      <c r="D64" s="3" t="s">
        <v>117</v>
      </c>
      <c r="E64" s="3" t="s">
        <v>115</v>
      </c>
      <c r="F64" s="3" t="s">
        <v>116</v>
      </c>
      <c r="G64" s="3" t="s">
        <v>829</v>
      </c>
      <c r="H64" s="3" t="s">
        <v>830</v>
      </c>
      <c r="I64" s="3" t="s">
        <v>831</v>
      </c>
    </row>
    <row r="65" spans="1:9">
      <c r="A65" s="12">
        <f>E48</f>
        <v>205.24508856682769</v>
      </c>
      <c r="B65" s="15">
        <f t="shared" ref="B65:B77" si="7">G48</f>
        <v>147889.11230984298</v>
      </c>
      <c r="C65" s="11">
        <f>('Assumptions and Parameters Pipe'!$C$10*63027*EXP((A65/25.4)*0.0697))/1.609</f>
        <v>75676.860050791147</v>
      </c>
      <c r="D65" s="11">
        <f>('Assumptions and Parameters Pipe'!$C$10*(-51.393*((A65/25.4)^2)+43523*(A65/25.4)+16171))/1.609</f>
        <v>249194.48907369006</v>
      </c>
      <c r="E65" s="11">
        <f>'Assumptions and Parameters Pipe'!$C$10*(303.13*((A65/25.4)^2)+12908*(A65/25.4)+123245)/1.609</f>
        <v>169095.82997323232</v>
      </c>
      <c r="F65" s="11">
        <f t="shared" ref="F65:F77" si="8">(-9*(10^(-13))*((A65/25.4)^2)+4417.1*(A65/25.4)+164241)/1.609</f>
        <v>124259.44320844201</v>
      </c>
      <c r="G65" s="13">
        <f>SUM(C65:F65)</f>
        <v>618226.62230615551</v>
      </c>
      <c r="H65" s="13">
        <f>G65+(G65*'Assumptions and Parameters Pipe'!$C$11)</f>
        <v>865517.27122861776</v>
      </c>
      <c r="I65" s="13">
        <f>H65*(1/'Assumptions and Parameters Pipe'!$C$6)*('Assumptions and Parameters Pipe'!$C$9/'Assumptions and Parameters Pipe'!$C$7)</f>
        <v>1369179.8640904687</v>
      </c>
    </row>
    <row r="66" spans="1:9">
      <c r="A66" s="12">
        <f t="shared" ref="A66:A77" si="9">E49</f>
        <v>256.55636070853461</v>
      </c>
      <c r="B66" s="15">
        <f t="shared" si="7"/>
        <v>258351.64707571064</v>
      </c>
      <c r="C66" s="11">
        <f>('Assumptions and Parameters Pipe'!$C$10*63027*EXP((A66/25.4)*0.0697))/1.609</f>
        <v>87119.035979765322</v>
      </c>
      <c r="D66" s="11">
        <f>('Assumptions and Parameters Pipe'!$C$10*(-51.393*((A66/25.4)^2)+43523*(A66/25.4)+16171))/1.609</f>
        <v>308012.35055857053</v>
      </c>
      <c r="E66" s="11">
        <f>'Assumptions and Parameters Pipe'!$C$10*(303.13*((A66/25.4)^2)+12908*(A66/25.4)+123245)/1.609</f>
        <v>194534.11115652922</v>
      </c>
      <c r="F66" s="11">
        <f t="shared" si="8"/>
        <v>129805.19276132938</v>
      </c>
      <c r="G66" s="13">
        <f t="shared" ref="G66:G77" si="10">SUM(C66:F66)</f>
        <v>719470.69045619445</v>
      </c>
      <c r="H66" s="13">
        <f>G66+(G66*'Assumptions and Parameters Pipe'!$C$11)</f>
        <v>1007258.9666386722</v>
      </c>
      <c r="I66" s="13">
        <f>H66*(1/'Assumptions and Parameters Pipe'!$C$6)*('Assumptions and Parameters Pipe'!$C$9/'Assumptions and Parameters Pipe'!$C$7)</f>
        <v>1593404.015021628</v>
      </c>
    </row>
    <row r="67" spans="1:9">
      <c r="A67" s="12">
        <f t="shared" si="9"/>
        <v>307.86763285024148</v>
      </c>
      <c r="B67" s="15">
        <f t="shared" si="7"/>
        <v>407534.47163130349</v>
      </c>
      <c r="C67" s="11">
        <f>('Assumptions and Parameters Pipe'!$C$10*63027*EXP((A67/25.4)*0.0697))/1.609</f>
        <v>100291.24391458281</v>
      </c>
      <c r="D67" s="11">
        <f>('Assumptions and Parameters Pipe'!$C$10*(-51.393*((A67/25.4)^2)+43523*(A67/25.4)+16171))/1.609</f>
        <v>366543.44533102866</v>
      </c>
      <c r="E67" s="11">
        <f>'Assumptions and Parameters Pipe'!$C$10*(303.13*((A67/25.4)^2)+12908*(A67/25.4)+123245)/1.609</f>
        <v>221663.82100786638</v>
      </c>
      <c r="F67" s="11">
        <f t="shared" si="8"/>
        <v>135350.94231421675</v>
      </c>
      <c r="G67" s="13">
        <f t="shared" si="10"/>
        <v>823849.45256769459</v>
      </c>
      <c r="H67" s="13">
        <f>G67+(G67*'Assumptions and Parameters Pipe'!$C$11)</f>
        <v>1153389.2335947724</v>
      </c>
      <c r="I67" s="13">
        <f>H67*(1/'Assumptions and Parameters Pipe'!$C$6)*('Assumptions and Parameters Pipe'!$C$9/'Assumptions and Parameters Pipe'!$C$7)</f>
        <v>1824570.5390199786</v>
      </c>
    </row>
    <row r="68" spans="1:9">
      <c r="A68" s="12">
        <f t="shared" si="9"/>
        <v>359.17890499194846</v>
      </c>
      <c r="B68" s="15">
        <f t="shared" si="7"/>
        <v>599144.15082847851</v>
      </c>
      <c r="C68" s="11">
        <f>('Assumptions and Parameters Pipe'!$C$10*63027*EXP((A68/25.4)*0.0697))/1.609</f>
        <v>115455.06091539562</v>
      </c>
      <c r="D68" s="11">
        <f>('Assumptions and Parameters Pipe'!$C$10*(-51.393*((A68/25.4)^2)+43523*(A68/25.4)+16171))/1.609</f>
        <v>424787.77339106455</v>
      </c>
      <c r="E68" s="11">
        <f>'Assumptions and Parameters Pipe'!$C$10*(303.13*((A68/25.4)^2)+12908*(A68/25.4)+123245)/1.609</f>
        <v>250484.95952724389</v>
      </c>
      <c r="F68" s="11">
        <f t="shared" si="8"/>
        <v>140896.69186710412</v>
      </c>
      <c r="G68" s="13">
        <f t="shared" si="10"/>
        <v>931624.48570080812</v>
      </c>
      <c r="H68" s="13">
        <f>G68+(G68*'Assumptions and Parameters Pipe'!$C$11)</f>
        <v>1304274.2799811314</v>
      </c>
      <c r="I68" s="13">
        <f>H68*(1/'Assumptions and Parameters Pipe'!$C$6)*('Assumptions and Parameters Pipe'!$C$9/'Assumptions and Parameters Pipe'!$C$7)</f>
        <v>2063258.7479927503</v>
      </c>
    </row>
    <row r="69" spans="1:9">
      <c r="A69" s="12">
        <f t="shared" si="9"/>
        <v>410.49017713365538</v>
      </c>
      <c r="B69" s="15">
        <f t="shared" si="7"/>
        <v>836587.15342359059</v>
      </c>
      <c r="C69" s="11">
        <f>('Assumptions and Parameters Pipe'!$C$10*63027*EXP((A69/25.4)*0.0697))/1.609</f>
        <v>132911.61392245413</v>
      </c>
      <c r="D69" s="11">
        <f>('Assumptions and Parameters Pipe'!$C$10*(-51.393*((A69/25.4)^2)+43523*(A69/25.4)+16171))/1.609</f>
        <v>482745.33473867801</v>
      </c>
      <c r="E69" s="11">
        <f>'Assumptions and Parameters Pipe'!$C$10*(303.13*((A69/25.4)^2)+12908*(A69/25.4)+123245)/1.609</f>
        <v>280997.52671466157</v>
      </c>
      <c r="F69" s="11">
        <f t="shared" si="8"/>
        <v>146442.44141999146</v>
      </c>
      <c r="G69" s="13">
        <f t="shared" si="10"/>
        <v>1043096.9167957851</v>
      </c>
      <c r="H69" s="13">
        <f>G69+(G69*'Assumptions and Parameters Pipe'!$C$11)</f>
        <v>1460335.6835140991</v>
      </c>
      <c r="I69" s="13">
        <f>H69*(1/'Assumptions and Parameters Pipe'!$C$6)*('Assumptions and Parameters Pipe'!$C$9/'Assumptions and Parameters Pipe'!$C$7)</f>
        <v>2310135.5445420775</v>
      </c>
    </row>
    <row r="70" spans="1:9">
      <c r="A70" s="12">
        <f t="shared" si="9"/>
        <v>461.8014492753623</v>
      </c>
      <c r="B70" s="15">
        <f t="shared" si="7"/>
        <v>1123032.9466028684</v>
      </c>
      <c r="C70" s="11">
        <f>('Assumptions and Parameters Pipe'!$C$10*63027*EXP((A70/25.4)*0.0697))/1.609</f>
        <v>153007.55961158444</v>
      </c>
      <c r="D70" s="11">
        <f>('Assumptions and Parameters Pipe'!$C$10*(-51.393*((A70/25.4)^2)+43523*(A70/25.4)+16171))/1.609</f>
        <v>540416.12937386904</v>
      </c>
      <c r="E70" s="11">
        <f>'Assumptions and Parameters Pipe'!$C$10*(303.13*((A70/25.4)^2)+12908*(A70/25.4)+123245)/1.609</f>
        <v>313201.52257011959</v>
      </c>
      <c r="F70" s="11">
        <f t="shared" si="8"/>
        <v>151988.19097287883</v>
      </c>
      <c r="G70" s="13">
        <f t="shared" si="10"/>
        <v>1158613.4025284518</v>
      </c>
      <c r="H70" s="13">
        <f>G70+(G70*'Assumptions and Parameters Pipe'!$C$11)</f>
        <v>1622058.7635398326</v>
      </c>
      <c r="I70" s="13">
        <f>H70*(1/'Assumptions and Parameters Pipe'!$C$6)*('Assumptions and Parameters Pipe'!$C$9/'Assumptions and Parameters Pipe'!$C$7)</f>
        <v>2565968.6654867404</v>
      </c>
    </row>
    <row r="71" spans="1:9">
      <c r="A71" s="12">
        <f t="shared" si="9"/>
        <v>513.11272141706922</v>
      </c>
      <c r="B71" s="15">
        <f t="shared" si="7"/>
        <v>1461457.6126235912</v>
      </c>
      <c r="C71" s="11">
        <f>('Assumptions and Parameters Pipe'!$C$10*63027*EXP((A71/25.4)*0.0697))/1.609</f>
        <v>176141.96839075058</v>
      </c>
      <c r="D71" s="11">
        <f>('Assumptions and Parameters Pipe'!$C$10*(-51.393*((A71/25.4)^2)+43523*(A71/25.4)+16171))/1.609</f>
        <v>597800.15729663766</v>
      </c>
      <c r="E71" s="11">
        <f>'Assumptions and Parameters Pipe'!$C$10*(303.13*((A71/25.4)^2)+12908*(A71/25.4)+123245)/1.609</f>
        <v>347096.94709361787</v>
      </c>
      <c r="F71" s="11">
        <f t="shared" si="8"/>
        <v>157533.94052576617</v>
      </c>
      <c r="G71" s="13">
        <f t="shared" si="10"/>
        <v>1278573.0133067723</v>
      </c>
      <c r="H71" s="13">
        <f>G71+(G71*'Assumptions and Parameters Pipe'!$C$11)</f>
        <v>1790002.2186294813</v>
      </c>
      <c r="I71" s="13">
        <f>H71*(1/'Assumptions and Parameters Pipe'!$C$6)*('Assumptions and Parameters Pipe'!$C$9/'Assumptions and Parameters Pipe'!$C$7)</f>
        <v>2831641.9277754505</v>
      </c>
    </row>
    <row r="72" spans="1:9">
      <c r="A72" s="12">
        <f t="shared" si="9"/>
        <v>564.42399355877615</v>
      </c>
      <c r="B72" s="15">
        <f t="shared" si="7"/>
        <v>1854675.507167747</v>
      </c>
      <c r="C72" s="11">
        <f>('Assumptions and Parameters Pipe'!$C$10*63027*EXP((A72/25.4)*0.0697))/1.609</f>
        <v>202774.24924186</v>
      </c>
      <c r="D72" s="11">
        <f>('Assumptions and Parameters Pipe'!$C$10*(-51.393*((A72/25.4)^2)+43523*(A72/25.4)+16171))/1.609</f>
        <v>654897.41850698402</v>
      </c>
      <c r="E72" s="11">
        <f>'Assumptions and Parameters Pipe'!$C$10*(303.13*((A72/25.4)^2)+12908*(A72/25.4)+123245)/1.609</f>
        <v>382683.80028515653</v>
      </c>
      <c r="F72" s="11">
        <f t="shared" si="8"/>
        <v>163079.69007865351</v>
      </c>
      <c r="G72" s="13">
        <f t="shared" si="10"/>
        <v>1403435.158112654</v>
      </c>
      <c r="H72" s="13">
        <f>G72+(G72*'Assumptions and Parameters Pipe'!$C$11)</f>
        <v>1964809.2213577158</v>
      </c>
      <c r="I72" s="13">
        <f>H72*(1/'Assumptions and Parameters Pipe'!$C$6)*('Assumptions and Parameters Pipe'!$C$9/'Assumptions and Parameters Pipe'!$C$7)</f>
        <v>3108172.7795489286</v>
      </c>
    </row>
    <row r="73" spans="1:9">
      <c r="A73" s="12">
        <f t="shared" si="9"/>
        <v>615.73526570048296</v>
      </c>
      <c r="B73" s="15">
        <f t="shared" si="7"/>
        <v>2305363.1076621697</v>
      </c>
      <c r="C73" s="11">
        <f>('Assumptions and Parameters Pipe'!$C$10*63027*EXP((A73/25.4)*0.0697))/1.609</f>
        <v>233433.27278133834</v>
      </c>
      <c r="D73" s="11">
        <f>('Assumptions and Parameters Pipe'!$C$10*(-51.393*((A73/25.4)^2)+43523*(A73/25.4)+16171))/1.609</f>
        <v>711707.9130049079</v>
      </c>
      <c r="E73" s="11">
        <f>'Assumptions and Parameters Pipe'!$C$10*(303.13*((A73/25.4)^2)+12908*(A73/25.4)+123245)/1.609</f>
        <v>419962.08214473526</v>
      </c>
      <c r="F73" s="11">
        <f t="shared" si="8"/>
        <v>168625.43963154085</v>
      </c>
      <c r="G73" s="13">
        <f t="shared" si="10"/>
        <v>1533728.7075625223</v>
      </c>
      <c r="H73" s="13">
        <f>G73+(G73*'Assumptions and Parameters Pipe'!$C$11)</f>
        <v>2147220.1905875313</v>
      </c>
      <c r="I73" s="13">
        <f>H73*(1/'Assumptions and Parameters Pipe'!$C$6)*('Assumptions and Parameters Pipe'!$C$9/'Assumptions and Parameters Pipe'!$C$7)</f>
        <v>3396732.50488423</v>
      </c>
    </row>
    <row r="74" spans="1:9">
      <c r="A74" s="12">
        <f t="shared" si="9"/>
        <v>667.04653784218999</v>
      </c>
      <c r="B74" s="15">
        <f t="shared" si="7"/>
        <v>2816077.5125063355</v>
      </c>
      <c r="C74" s="11">
        <f>('Assumptions and Parameters Pipe'!$C$10*63027*EXP((A74/25.4)*0.0697))/1.609</f>
        <v>268727.87370753486</v>
      </c>
      <c r="D74" s="11">
        <f>('Assumptions and Parameters Pipe'!$C$10*(-51.393*((A74/25.4)^2)+43523*(A74/25.4)+16171))/1.609</f>
        <v>768231.64079040941</v>
      </c>
      <c r="E74" s="11">
        <f>'Assumptions and Parameters Pipe'!$C$10*(303.13*((A74/25.4)^2)+12908*(A74/25.4)+123245)/1.609</f>
        <v>458931.79267235444</v>
      </c>
      <c r="F74" s="11">
        <f t="shared" si="8"/>
        <v>174171.18918442819</v>
      </c>
      <c r="G74" s="13">
        <f t="shared" si="10"/>
        <v>1670062.4963547268</v>
      </c>
      <c r="H74" s="13">
        <f>G74+(G74*'Assumptions and Parameters Pipe'!$C$11)</f>
        <v>2338087.4948966177</v>
      </c>
      <c r="I74" s="13">
        <f>H74*(1/'Assumptions and Parameters Pipe'!$C$6)*('Assumptions and Parameters Pipe'!$C$9/'Assumptions and Parameters Pipe'!$C$7)</f>
        <v>3698669.4834522759</v>
      </c>
    </row>
    <row r="75" spans="1:9">
      <c r="A75" s="12">
        <f t="shared" si="9"/>
        <v>718.35780998389691</v>
      </c>
      <c r="B75" s="15">
        <f t="shared" si="7"/>
        <v>3389271.13567258</v>
      </c>
      <c r="C75" s="11">
        <f>('Assumptions and Parameters Pipe'!$C$10*63027*EXP((A75/25.4)*0.0697))/1.609</f>
        <v>309358.94119523285</v>
      </c>
      <c r="D75" s="11">
        <f>('Assumptions and Parameters Pipe'!$C$10*(-51.393*((A75/25.4)^2)+43523*(A75/25.4)+16171))/1.609</f>
        <v>824468.60186348879</v>
      </c>
      <c r="E75" s="11">
        <f>'Assumptions and Parameters Pipe'!$C$10*(303.13*((A75/25.4)^2)+12908*(A75/25.4)+123245)/1.609</f>
        <v>499592.93186801398</v>
      </c>
      <c r="F75" s="11">
        <f t="shared" si="8"/>
        <v>179716.93873731553</v>
      </c>
      <c r="G75" s="13">
        <f t="shared" si="10"/>
        <v>1813137.4136640511</v>
      </c>
      <c r="H75" s="13">
        <f>G75+(G75*'Assumptions and Parameters Pipe'!$C$11)</f>
        <v>2538392.3791296715</v>
      </c>
      <c r="I75" s="13">
        <f>H75*(1/'Assumptions and Parameters Pipe'!$C$6)*('Assumptions and Parameters Pipe'!$C$9/'Assumptions and Parameters Pipe'!$C$7)</f>
        <v>4015535.9669847907</v>
      </c>
    </row>
    <row r="76" spans="1:9">
      <c r="A76" s="12">
        <f t="shared" si="9"/>
        <v>769.66908212560384</v>
      </c>
      <c r="B76" s="15">
        <f t="shared" si="7"/>
        <v>4027303.6105881133</v>
      </c>
      <c r="C76" s="11">
        <f>('Assumptions and Parameters Pipe'!$C$10*63027*EXP((A76/25.4)*0.0697))/1.609</f>
        <v>356133.3373314006</v>
      </c>
      <c r="D76" s="11">
        <f>('Assumptions and Parameters Pipe'!$C$10*(-51.393*((A76/25.4)^2)+43523*(A76/25.4)+16171))/1.609</f>
        <v>880418.79622414545</v>
      </c>
      <c r="E76" s="11">
        <f>'Assumptions and Parameters Pipe'!$C$10*(303.13*((A76/25.4)^2)+12908*(A76/25.4)+123245)/1.609</f>
        <v>541945.49973171367</v>
      </c>
      <c r="F76" s="11">
        <f t="shared" si="8"/>
        <v>185262.68829020284</v>
      </c>
      <c r="G76" s="13">
        <f t="shared" si="10"/>
        <v>1963760.3215774624</v>
      </c>
      <c r="H76" s="13">
        <f>G76+(G76*'Assumptions and Parameters Pipe'!$C$11)</f>
        <v>2749264.4502084474</v>
      </c>
      <c r="I76" s="13">
        <f>H76*(1/'Assumptions and Parameters Pipe'!$C$6)*('Assumptions and Parameters Pipe'!$C$9/'Assumptions and Parameters Pipe'!$C$7)</f>
        <v>4349118.9042845489</v>
      </c>
    </row>
    <row r="77" spans="1:9">
      <c r="A77" s="12">
        <f t="shared" si="9"/>
        <v>820.98035426731076</v>
      </c>
      <c r="B77" s="15">
        <f t="shared" si="7"/>
        <v>4732451.5939149773</v>
      </c>
      <c r="C77" s="11">
        <f>('Assumptions and Parameters Pipe'!$C$10*63027*EXP((A77/25.4)*0.0697))/1.609</f>
        <v>409979.91998802306</v>
      </c>
      <c r="D77" s="11">
        <f>('Assumptions and Parameters Pipe'!$C$10*(-51.393*((A77/25.4)^2)+43523*(A77/25.4)+16171))/1.609</f>
        <v>936082.22387237998</v>
      </c>
      <c r="E77" s="11">
        <f>'Assumptions and Parameters Pipe'!$C$10*(303.13*((A77/25.4)^2)+12908*(A77/25.4)+123245)/1.609</f>
        <v>585989.49626345362</v>
      </c>
      <c r="F77" s="11">
        <f t="shared" si="8"/>
        <v>190808.43784309019</v>
      </c>
      <c r="G77" s="13">
        <f t="shared" si="10"/>
        <v>2122860.0779669471</v>
      </c>
      <c r="H77" s="13">
        <f>G77+(G77*'Assumptions and Parameters Pipe'!$C$11)</f>
        <v>2972004.1091537261</v>
      </c>
      <c r="I77" s="13">
        <f>H77*(1/'Assumptions and Parameters Pipe'!$C$6)*('Assumptions and Parameters Pipe'!$C$9/'Assumptions and Parameters Pipe'!$C$7)</f>
        <v>4701475.426909849</v>
      </c>
    </row>
    <row r="78" spans="1:9">
      <c r="A78" s="19"/>
      <c r="B78" s="44"/>
      <c r="C78" s="45"/>
      <c r="D78" s="45"/>
      <c r="E78" s="45"/>
      <c r="F78" s="45"/>
      <c r="G78" s="46"/>
      <c r="H78" s="46"/>
      <c r="I78" s="46"/>
    </row>
    <row r="80" spans="1:9" ht="15">
      <c r="A80" s="62" t="s">
        <v>1047</v>
      </c>
      <c r="B80" s="63"/>
      <c r="C80" s="63"/>
      <c r="D80" s="63"/>
      <c r="E80" s="63"/>
      <c r="F80" s="63"/>
      <c r="G80" s="63"/>
      <c r="H80" s="63"/>
      <c r="I80" s="64"/>
    </row>
    <row r="81" spans="1:9" ht="15">
      <c r="A81" s="3" t="s">
        <v>621</v>
      </c>
      <c r="B81" s="3" t="s">
        <v>173</v>
      </c>
      <c r="C81" s="3" t="s">
        <v>179</v>
      </c>
      <c r="D81" s="3" t="s">
        <v>118</v>
      </c>
      <c r="E81" s="3" t="s">
        <v>180</v>
      </c>
      <c r="F81" s="3" t="s">
        <v>181</v>
      </c>
      <c r="G81" s="3" t="s">
        <v>182</v>
      </c>
      <c r="H81" s="3" t="s">
        <v>178</v>
      </c>
      <c r="I81" s="3" t="s">
        <v>270</v>
      </c>
    </row>
    <row r="82" spans="1:9">
      <c r="A82" s="4">
        <f t="shared" ref="A82:A94" si="11">C48</f>
        <v>203.2</v>
      </c>
      <c r="B82" s="15">
        <f t="shared" ref="B82:B94" si="12">G48</f>
        <v>147889.11230984298</v>
      </c>
      <c r="C82" s="15">
        <f t="shared" ref="C82:C94" si="13">I48</f>
        <v>53979.525993092684</v>
      </c>
      <c r="D82" s="14">
        <f t="shared" ref="D82:D94" si="14">8760*((B82/100000)^0.25)</f>
        <v>9660.2453494871188</v>
      </c>
      <c r="E82" s="11">
        <f>D82*'Assumptions and Parameters Pipe'!$C$17</f>
        <v>479148.1693345611</v>
      </c>
      <c r="F82" s="13">
        <f>E82*'Assumptions and Parameters Pipe'!$C$18</f>
        <v>239574.08466728055</v>
      </c>
      <c r="G82" s="13">
        <f>SUM(E82:F82)</f>
        <v>718722.25400184165</v>
      </c>
      <c r="H82" s="11">
        <f t="shared" ref="H82:H94" si="15">G82/C82</f>
        <v>13.314719623395927</v>
      </c>
      <c r="I82" s="31">
        <f>(H82*('Assumptions and Parameters Pipe'!$C$9/'Assumptions and Parameters Pipe'!$C$8))/$C$39</f>
        <v>5.413578902553879E-2</v>
      </c>
    </row>
    <row r="83" spans="1:9">
      <c r="A83" s="4">
        <f t="shared" si="11"/>
        <v>254</v>
      </c>
      <c r="B83" s="15">
        <f t="shared" si="12"/>
        <v>258351.64707571064</v>
      </c>
      <c r="C83" s="15">
        <f t="shared" si="13"/>
        <v>94298.351182634389</v>
      </c>
      <c r="D83" s="14">
        <f t="shared" si="14"/>
        <v>11105.980710577169</v>
      </c>
      <c r="E83" s="11">
        <f>D83*'Assumptions and Parameters Pipe'!$C$17</f>
        <v>550856.64324462763</v>
      </c>
      <c r="F83" s="13">
        <f>E83*'Assumptions and Parameters Pipe'!$C$18</f>
        <v>275428.32162231382</v>
      </c>
      <c r="G83" s="13">
        <f t="shared" ref="G83:G94" si="16">SUM(E83:F83)</f>
        <v>826284.96486694145</v>
      </c>
      <c r="H83" s="11">
        <f t="shared" si="15"/>
        <v>8.7624540037462157</v>
      </c>
      <c r="I83" s="31">
        <f>(H83*('Assumptions and Parameters Pipe'!$C$9/'Assumptions and Parameters Pipe'!$C$8))/$C$39</f>
        <v>3.5626913274183269E-2</v>
      </c>
    </row>
    <row r="84" spans="1:9">
      <c r="A84" s="4">
        <f t="shared" si="11"/>
        <v>304.79999999999995</v>
      </c>
      <c r="B84" s="15">
        <f t="shared" si="12"/>
        <v>407534.47163130349</v>
      </c>
      <c r="C84" s="15">
        <f t="shared" si="13"/>
        <v>148750.08214542575</v>
      </c>
      <c r="D84" s="14">
        <f t="shared" si="14"/>
        <v>12446.441253620738</v>
      </c>
      <c r="E84" s="11">
        <f>D84*'Assumptions and Parameters Pipe'!$C$17</f>
        <v>617343.4861795886</v>
      </c>
      <c r="F84" s="13">
        <f>E84*'Assumptions and Parameters Pipe'!$C$18</f>
        <v>308671.7430897943</v>
      </c>
      <c r="G84" s="13">
        <f t="shared" si="16"/>
        <v>926015.22926938289</v>
      </c>
      <c r="H84" s="11">
        <f t="shared" si="15"/>
        <v>6.2253090278233438</v>
      </c>
      <c r="I84" s="31">
        <f>(H84*('Assumptions and Parameters Pipe'!$C$9/'Assumptions and Parameters Pipe'!$C$8))/$C$39</f>
        <v>2.531123641213193E-2</v>
      </c>
    </row>
    <row r="85" spans="1:9">
      <c r="A85" s="4">
        <f t="shared" si="11"/>
        <v>355.59999999999997</v>
      </c>
      <c r="B85" s="15">
        <f t="shared" si="12"/>
        <v>599144.15082847851</v>
      </c>
      <c r="C85" s="15">
        <f t="shared" si="13"/>
        <v>218687.61505239466</v>
      </c>
      <c r="D85" s="14">
        <f t="shared" si="14"/>
        <v>13705.249215416832</v>
      </c>
      <c r="E85" s="11">
        <f>D85*'Assumptions and Parameters Pipe'!$C$17</f>
        <v>679780.36108467495</v>
      </c>
      <c r="F85" s="13">
        <f>E85*'Assumptions and Parameters Pipe'!$C$18</f>
        <v>339890.18054233748</v>
      </c>
      <c r="G85" s="13">
        <f t="shared" si="16"/>
        <v>1019670.5416270124</v>
      </c>
      <c r="H85" s="11">
        <f t="shared" si="15"/>
        <v>4.6626807895943854</v>
      </c>
      <c r="I85" s="31">
        <f>(H85*('Assumptions and Parameters Pipe'!$C$9/'Assumptions and Parameters Pipe'!$C$8))/$C$39</f>
        <v>1.8957808399913938E-2</v>
      </c>
    </row>
    <row r="86" spans="1:9">
      <c r="A86" s="4">
        <f t="shared" si="11"/>
        <v>406.4</v>
      </c>
      <c r="B86" s="15">
        <f t="shared" si="12"/>
        <v>836587.15342359059</v>
      </c>
      <c r="C86" s="15">
        <f t="shared" si="13"/>
        <v>305354.31099961052</v>
      </c>
      <c r="D86" s="14">
        <f t="shared" si="14"/>
        <v>14898.134954075751</v>
      </c>
      <c r="E86" s="11">
        <f>D86*'Assumptions and Parameters Pipe'!$C$17</f>
        <v>738947.49372215732</v>
      </c>
      <c r="F86" s="13">
        <f>E86*'Assumptions and Parameters Pipe'!$C$18</f>
        <v>369473.74686107866</v>
      </c>
      <c r="G86" s="13">
        <f t="shared" si="16"/>
        <v>1108421.2405832359</v>
      </c>
      <c r="H86" s="11">
        <f t="shared" si="15"/>
        <v>3.6299511768957786</v>
      </c>
      <c r="I86" s="31">
        <f>(H86*('Assumptions and Parameters Pipe'!$C$9/'Assumptions and Parameters Pipe'!$C$8))/$C$39</f>
        <v>1.475887413657127E-2</v>
      </c>
    </row>
    <row r="87" spans="1:9">
      <c r="A87" s="4">
        <f t="shared" si="11"/>
        <v>457.2</v>
      </c>
      <c r="B87" s="15">
        <f t="shared" si="12"/>
        <v>1123032.9466028684</v>
      </c>
      <c r="C87" s="15">
        <f t="shared" si="13"/>
        <v>409907.02551004698</v>
      </c>
      <c r="D87" s="14">
        <f t="shared" si="14"/>
        <v>16036.228302219759</v>
      </c>
      <c r="E87" s="11">
        <f>D87*'Assumptions and Parameters Pipe'!$C$17</f>
        <v>795396.92379010003</v>
      </c>
      <c r="F87" s="13">
        <f>E87*'Assumptions and Parameters Pipe'!$C$18</f>
        <v>397698.46189505002</v>
      </c>
      <c r="G87" s="13">
        <f t="shared" si="16"/>
        <v>1193095.38568515</v>
      </c>
      <c r="H87" s="11">
        <f t="shared" si="15"/>
        <v>2.9106487848081706</v>
      </c>
      <c r="I87" s="31">
        <f>(H87*('Assumptions and Parameters Pipe'!$C$9/'Assumptions and Parameters Pipe'!$C$8))/$C$39</f>
        <v>1.1834291145338259E-2</v>
      </c>
    </row>
    <row r="88" spans="1:9">
      <c r="A88" s="4">
        <f t="shared" si="11"/>
        <v>508</v>
      </c>
      <c r="B88" s="15">
        <f t="shared" si="12"/>
        <v>1461457.6126235912</v>
      </c>
      <c r="C88" s="15">
        <f t="shared" si="13"/>
        <v>533432.02860761073</v>
      </c>
      <c r="D88" s="14">
        <f t="shared" si="14"/>
        <v>17127.763678623891</v>
      </c>
      <c r="E88" s="11">
        <f>D88*'Assumptions and Parameters Pipe'!$C$17</f>
        <v>849537.07845974504</v>
      </c>
      <c r="F88" s="13">
        <f>E88*'Assumptions and Parameters Pipe'!$C$18</f>
        <v>424768.53922987252</v>
      </c>
      <c r="G88" s="13">
        <f t="shared" si="16"/>
        <v>1274305.6176896174</v>
      </c>
      <c r="H88" s="11">
        <f t="shared" si="15"/>
        <v>2.3888809620522218</v>
      </c>
      <c r="I88" s="31">
        <f>(H88*('Assumptions and Parameters Pipe'!$C$9/'Assumptions and Parameters Pipe'!$C$8))/$C$39</f>
        <v>9.7128561041228342E-3</v>
      </c>
    </row>
    <row r="89" spans="1:9">
      <c r="A89" s="4">
        <f t="shared" si="11"/>
        <v>558.79999999999995</v>
      </c>
      <c r="B89" s="15">
        <f t="shared" si="12"/>
        <v>1854675.507167747</v>
      </c>
      <c r="C89" s="15">
        <f t="shared" si="13"/>
        <v>676956.5601162276</v>
      </c>
      <c r="D89" s="14">
        <f t="shared" si="14"/>
        <v>18179.046074054841</v>
      </c>
      <c r="E89" s="11">
        <f>D89*'Assumptions and Parameters Pipe'!$C$17</f>
        <v>901680.68527312006</v>
      </c>
      <c r="F89" s="13">
        <f>E89*'Assumptions and Parameters Pipe'!$C$18</f>
        <v>450840.34263656003</v>
      </c>
      <c r="G89" s="13">
        <f t="shared" si="16"/>
        <v>1352521.02790968</v>
      </c>
      <c r="H89" s="11">
        <f t="shared" si="15"/>
        <v>1.9979436016950096</v>
      </c>
      <c r="I89" s="31">
        <f>(H89*('Assumptions and Parameters Pipe'!$C$9/'Assumptions and Parameters Pipe'!$C$8))/$C$39</f>
        <v>8.1233594371925497E-3</v>
      </c>
    </row>
    <row r="90" spans="1:9">
      <c r="A90" s="4">
        <f t="shared" si="11"/>
        <v>609.59999999999991</v>
      </c>
      <c r="B90" s="15">
        <f t="shared" si="12"/>
        <v>2305363.1076621697</v>
      </c>
      <c r="C90" s="15">
        <f t="shared" si="13"/>
        <v>841457.53429669188</v>
      </c>
      <c r="D90" s="14">
        <f t="shared" si="14"/>
        <v>19195.036439137886</v>
      </c>
      <c r="E90" s="11">
        <f>D90*'Assumptions and Parameters Pipe'!$C$17</f>
        <v>952073.80738123914</v>
      </c>
      <c r="F90" s="13">
        <f>E90*'Assumptions and Parameters Pipe'!$C$18</f>
        <v>476036.90369061957</v>
      </c>
      <c r="G90" s="13">
        <f t="shared" si="16"/>
        <v>1428110.7110718586</v>
      </c>
      <c r="H90" s="11">
        <f t="shared" si="15"/>
        <v>1.6971869082680495</v>
      </c>
      <c r="I90" s="31">
        <f>(H90*('Assumptions and Parameters Pipe'!$C$9/'Assumptions and Parameters Pipe'!$C$8))/$C$39</f>
        <v>6.9005247576870796E-3</v>
      </c>
    </row>
    <row r="91" spans="1:9">
      <c r="A91" s="4">
        <f t="shared" si="11"/>
        <v>660.4</v>
      </c>
      <c r="B91" s="15">
        <f t="shared" si="12"/>
        <v>2816077.5125063355</v>
      </c>
      <c r="C91" s="15">
        <f t="shared" si="13"/>
        <v>1027868.2920648124</v>
      </c>
      <c r="D91" s="14">
        <f t="shared" si="14"/>
        <v>20179.725638370615</v>
      </c>
      <c r="E91" s="11">
        <f>D91*'Assumptions and Parameters Pipe'!$C$17</f>
        <v>1000914.3916631825</v>
      </c>
      <c r="F91" s="13">
        <f>E91*'Assumptions and Parameters Pipe'!$C$18</f>
        <v>500457.19583159126</v>
      </c>
      <c r="G91" s="13">
        <f t="shared" si="16"/>
        <v>1501371.5874947738</v>
      </c>
      <c r="H91" s="11">
        <f t="shared" si="15"/>
        <v>1.4606653392126474</v>
      </c>
      <c r="I91" s="31">
        <f>(H91*('Assumptions and Parameters Pipe'!$C$9/'Assumptions and Parameters Pipe'!$C$8))/$C$39</f>
        <v>5.9388611159027164E-3</v>
      </c>
    </row>
    <row r="92" spans="1:9">
      <c r="A92" s="4">
        <f t="shared" si="11"/>
        <v>711.19999999999993</v>
      </c>
      <c r="B92" s="15">
        <f t="shared" si="12"/>
        <v>3389271.13567258</v>
      </c>
      <c r="C92" s="15">
        <f t="shared" si="13"/>
        <v>1237083.9645204917</v>
      </c>
      <c r="D92" s="14">
        <f t="shared" si="14"/>
        <v>21136.383704929522</v>
      </c>
      <c r="E92" s="11">
        <f>D92*'Assumptions and Parameters Pipe'!$C$17</f>
        <v>1048364.6317645044</v>
      </c>
      <c r="F92" s="13">
        <f>E92*'Assumptions and Parameters Pipe'!$C$18</f>
        <v>524182.31588225218</v>
      </c>
      <c r="G92" s="13">
        <f t="shared" si="16"/>
        <v>1572546.9476467567</v>
      </c>
      <c r="H92" s="11">
        <f t="shared" si="15"/>
        <v>1.2711723640006072</v>
      </c>
      <c r="I92" s="31">
        <f>(H92*('Assumptions and Parameters Pipe'!$C$9/'Assumptions and Parameters Pipe'!$C$8))/$C$39</f>
        <v>5.1684091636231338E-3</v>
      </c>
    </row>
    <row r="93" spans="1:9">
      <c r="A93" s="4">
        <f t="shared" si="11"/>
        <v>762</v>
      </c>
      <c r="B93" s="15">
        <f t="shared" si="12"/>
        <v>4027303.6105881133</v>
      </c>
      <c r="C93" s="15">
        <f t="shared" si="13"/>
        <v>1469965.8178646616</v>
      </c>
      <c r="D93" s="14">
        <f t="shared" si="14"/>
        <v>22067.731897017438</v>
      </c>
      <c r="E93" s="11">
        <f>D93*'Assumptions and Parameters Pipe'!$C$17</f>
        <v>1094559.5020920651</v>
      </c>
      <c r="F93" s="13">
        <f>E93*'Assumptions and Parameters Pipe'!$C$18</f>
        <v>547279.75104603253</v>
      </c>
      <c r="G93" s="13">
        <f t="shared" si="16"/>
        <v>1641839.2531380975</v>
      </c>
      <c r="H93" s="11">
        <f t="shared" si="15"/>
        <v>1.1169234231059244</v>
      </c>
      <c r="I93" s="31">
        <f>(H93*('Assumptions and Parameters Pipe'!$C$9/'Assumptions and Parameters Pipe'!$C$8))/$C$39</f>
        <v>4.5412545289123521E-3</v>
      </c>
    </row>
    <row r="94" spans="1:9">
      <c r="A94" s="4">
        <f t="shared" si="11"/>
        <v>812.8</v>
      </c>
      <c r="B94" s="15">
        <f t="shared" si="12"/>
        <v>4732451.5939149773</v>
      </c>
      <c r="C94" s="15">
        <f t="shared" si="13"/>
        <v>1727344.8317789666</v>
      </c>
      <c r="D94" s="14">
        <f t="shared" si="14"/>
        <v>22976.065004564065</v>
      </c>
      <c r="E94" s="11">
        <f>D94*'Assumptions and Parameters Pipe'!$C$17</f>
        <v>1139612.8242263778</v>
      </c>
      <c r="F94" s="13">
        <f>E94*'Assumptions and Parameters Pipe'!$C$18</f>
        <v>569806.41211318888</v>
      </c>
      <c r="G94" s="13">
        <f t="shared" si="16"/>
        <v>1709419.2363395668</v>
      </c>
      <c r="H94" s="11">
        <f t="shared" si="15"/>
        <v>0.98962245690054917</v>
      </c>
      <c r="I94" s="31">
        <f>(H94*('Assumptions and Parameters Pipe'!$C$9/'Assumptions and Parameters Pipe'!$C$8))/$C$39</f>
        <v>4.0236665928410596E-3</v>
      </c>
    </row>
    <row r="95" spans="1:9">
      <c r="A95" s="1"/>
      <c r="B95" s="44"/>
      <c r="C95" s="44"/>
      <c r="D95" s="47"/>
      <c r="E95" s="45"/>
      <c r="F95" s="46"/>
      <c r="G95" s="46"/>
      <c r="H95" s="45"/>
      <c r="I95" s="48"/>
    </row>
    <row r="97" spans="1:10" ht="15">
      <c r="A97" s="62" t="s">
        <v>1048</v>
      </c>
      <c r="B97" s="63"/>
      <c r="C97" s="63"/>
      <c r="D97" s="63"/>
      <c r="E97" s="63"/>
      <c r="F97" s="63"/>
      <c r="G97" s="63"/>
      <c r="H97" s="63"/>
      <c r="I97" s="63"/>
      <c r="J97" s="64"/>
    </row>
    <row r="98" spans="1:10" ht="15">
      <c r="A98" s="3" t="s">
        <v>621</v>
      </c>
      <c r="B98" s="3" t="s">
        <v>112</v>
      </c>
      <c r="C98" s="3" t="s">
        <v>179</v>
      </c>
      <c r="D98" s="3" t="s">
        <v>197</v>
      </c>
      <c r="E98" s="3" t="s">
        <v>191</v>
      </c>
      <c r="F98" s="3" t="s">
        <v>192</v>
      </c>
      <c r="G98" s="3" t="s">
        <v>193</v>
      </c>
      <c r="H98" s="3" t="s">
        <v>194</v>
      </c>
      <c r="I98" s="3" t="s">
        <v>195</v>
      </c>
      <c r="J98" s="3" t="s">
        <v>196</v>
      </c>
    </row>
    <row r="99" spans="1:10">
      <c r="A99" s="4">
        <f t="shared" ref="A99:A111" si="17">C48</f>
        <v>203.2</v>
      </c>
      <c r="B99" s="9">
        <f t="shared" ref="B99:B111" si="18">G48</f>
        <v>147889.11230984298</v>
      </c>
      <c r="C99" s="15">
        <f t="shared" ref="C99:C111" si="19">I48</f>
        <v>53979.525993092684</v>
      </c>
      <c r="D99" s="13">
        <f t="shared" ref="D99:D111" si="20">0.01*H65</f>
        <v>8655.1727122861776</v>
      </c>
      <c r="E99" s="13">
        <f t="shared" ref="E99:E111" si="21">0.01*H65</f>
        <v>8655.1727122861776</v>
      </c>
      <c r="F99" s="13">
        <f t="shared" ref="F99:F111" si="22">0.001*H65</f>
        <v>865.5172712286178</v>
      </c>
      <c r="G99" s="13">
        <f t="shared" ref="G99:G111" si="23">0.005*H65</f>
        <v>4327.5863561430888</v>
      </c>
      <c r="H99" s="13">
        <f>SUM(D99:G99)</f>
        <v>22503.449051944062</v>
      </c>
      <c r="I99" s="11">
        <f t="shared" ref="I99:I111" si="24">H99/C99</f>
        <v>0.41688860059318866</v>
      </c>
      <c r="J99" s="11">
        <f>I99*(1/'Assumptions and Parameters Pipe'!$C$6)*('Assumptions and Parameters Pipe'!$C$9/'Assumptions and Parameters Pipe'!$C$7)</f>
        <v>0.65948479189882947</v>
      </c>
    </row>
    <row r="100" spans="1:10">
      <c r="A100" s="4">
        <f t="shared" si="17"/>
        <v>254</v>
      </c>
      <c r="B100" s="9">
        <f t="shared" si="18"/>
        <v>258351.64707571064</v>
      </c>
      <c r="C100" s="15">
        <f t="shared" si="19"/>
        <v>94298.351182634389</v>
      </c>
      <c r="D100" s="13">
        <f t="shared" si="20"/>
        <v>10072.589666386722</v>
      </c>
      <c r="E100" s="13">
        <f t="shared" si="21"/>
        <v>10072.589666386722</v>
      </c>
      <c r="F100" s="13">
        <f t="shared" si="22"/>
        <v>1007.2589666386722</v>
      </c>
      <c r="G100" s="13">
        <f t="shared" si="23"/>
        <v>5036.2948331933612</v>
      </c>
      <c r="H100" s="13">
        <f t="shared" ref="H100:H111" si="25">SUM(D100:G100)</f>
        <v>26188.733132605481</v>
      </c>
      <c r="I100" s="11">
        <f t="shared" si="24"/>
        <v>0.27772206835179841</v>
      </c>
      <c r="J100" s="11">
        <f>I100*(1/'Assumptions and Parameters Pipe'!$C$6)*('Assumptions and Parameters Pipe'!$C$9/'Assumptions and Parameters Pipe'!$C$7)</f>
        <v>0.43933434541527427</v>
      </c>
    </row>
    <row r="101" spans="1:10">
      <c r="A101" s="4">
        <f t="shared" si="17"/>
        <v>304.79999999999995</v>
      </c>
      <c r="B101" s="9">
        <f t="shared" si="18"/>
        <v>407534.47163130349</v>
      </c>
      <c r="C101" s="15">
        <f t="shared" si="19"/>
        <v>148750.08214542575</v>
      </c>
      <c r="D101" s="13">
        <f t="shared" si="20"/>
        <v>11533.892335947725</v>
      </c>
      <c r="E101" s="13">
        <f t="shared" si="21"/>
        <v>11533.892335947725</v>
      </c>
      <c r="F101" s="13">
        <f t="shared" si="22"/>
        <v>1153.3892335947723</v>
      </c>
      <c r="G101" s="13">
        <f t="shared" si="23"/>
        <v>5766.9461679738624</v>
      </c>
      <c r="H101" s="13">
        <f t="shared" si="25"/>
        <v>29988.120073464084</v>
      </c>
      <c r="I101" s="11">
        <f t="shared" si="24"/>
        <v>0.20160069588496865</v>
      </c>
      <c r="J101" s="11">
        <f>I101*(1/'Assumptions and Parameters Pipe'!$C$6)*('Assumptions and Parameters Pipe'!$C$9/'Assumptions and Parameters Pipe'!$C$7)</f>
        <v>0.31891635507226673</v>
      </c>
    </row>
    <row r="102" spans="1:10">
      <c r="A102" s="4">
        <f t="shared" si="17"/>
        <v>355.59999999999997</v>
      </c>
      <c r="B102" s="9">
        <f t="shared" si="18"/>
        <v>599144.15082847851</v>
      </c>
      <c r="C102" s="15">
        <f t="shared" si="19"/>
        <v>218687.61505239466</v>
      </c>
      <c r="D102" s="13">
        <f t="shared" si="20"/>
        <v>13042.742799811314</v>
      </c>
      <c r="E102" s="13">
        <f t="shared" si="21"/>
        <v>13042.742799811314</v>
      </c>
      <c r="F102" s="13">
        <f t="shared" si="22"/>
        <v>1304.2742799811315</v>
      </c>
      <c r="G102" s="13">
        <f t="shared" si="23"/>
        <v>6521.3713999056572</v>
      </c>
      <c r="H102" s="13">
        <f t="shared" si="25"/>
        <v>33911.13127950942</v>
      </c>
      <c r="I102" s="11">
        <f t="shared" si="24"/>
        <v>0.15506653758780423</v>
      </c>
      <c r="J102" s="11">
        <f>I102*(1/'Assumptions and Parameters Pipe'!$C$6)*('Assumptions and Parameters Pipe'!$C$9/'Assumptions and Parameters Pipe'!$C$7)</f>
        <v>0.24530299731404054</v>
      </c>
    </row>
    <row r="103" spans="1:10">
      <c r="A103" s="4">
        <f t="shared" si="17"/>
        <v>406.4</v>
      </c>
      <c r="B103" s="9">
        <f t="shared" si="18"/>
        <v>836587.15342359059</v>
      </c>
      <c r="C103" s="15">
        <f t="shared" si="19"/>
        <v>305354.31099961052</v>
      </c>
      <c r="D103" s="13">
        <f t="shared" si="20"/>
        <v>14603.356835140992</v>
      </c>
      <c r="E103" s="13">
        <f t="shared" si="21"/>
        <v>14603.356835140992</v>
      </c>
      <c r="F103" s="13">
        <f t="shared" si="22"/>
        <v>1460.3356835140992</v>
      </c>
      <c r="G103" s="13">
        <f t="shared" si="23"/>
        <v>7301.6784175704961</v>
      </c>
      <c r="H103" s="13">
        <f t="shared" si="25"/>
        <v>37968.727771366583</v>
      </c>
      <c r="I103" s="11">
        <f t="shared" si="24"/>
        <v>0.12434318561631512</v>
      </c>
      <c r="J103" s="11">
        <f>I103*(1/'Assumptions and Parameters Pipe'!$C$6)*('Assumptions and Parameters Pipe'!$C$9/'Assumptions and Parameters Pipe'!$C$7)</f>
        <v>0.19670108459078095</v>
      </c>
    </row>
    <row r="104" spans="1:10">
      <c r="A104" s="4">
        <f t="shared" si="17"/>
        <v>457.2</v>
      </c>
      <c r="B104" s="9">
        <f t="shared" si="18"/>
        <v>1123032.9466028684</v>
      </c>
      <c r="C104" s="15">
        <f t="shared" si="19"/>
        <v>409907.02551004698</v>
      </c>
      <c r="D104" s="13">
        <f t="shared" si="20"/>
        <v>16220.587635398326</v>
      </c>
      <c r="E104" s="13">
        <f t="shared" si="21"/>
        <v>16220.587635398326</v>
      </c>
      <c r="F104" s="13">
        <f t="shared" si="22"/>
        <v>1622.0587635398326</v>
      </c>
      <c r="G104" s="13">
        <f t="shared" si="23"/>
        <v>8110.2938176991629</v>
      </c>
      <c r="H104" s="13">
        <f t="shared" si="25"/>
        <v>42173.527852035651</v>
      </c>
      <c r="I104" s="11">
        <f t="shared" si="24"/>
        <v>0.10288559411627347</v>
      </c>
      <c r="J104" s="11">
        <f>I104*(1/'Assumptions and Parameters Pipe'!$C$6)*('Assumptions and Parameters Pipe'!$C$9/'Assumptions and Parameters Pipe'!$C$7)</f>
        <v>0.16275687204834219</v>
      </c>
    </row>
    <row r="105" spans="1:10">
      <c r="A105" s="4">
        <f t="shared" si="17"/>
        <v>508</v>
      </c>
      <c r="B105" s="9">
        <f t="shared" si="18"/>
        <v>1461457.6126235912</v>
      </c>
      <c r="C105" s="15">
        <f t="shared" si="19"/>
        <v>533432.02860761073</v>
      </c>
      <c r="D105" s="13">
        <f t="shared" si="20"/>
        <v>17900.022186294813</v>
      </c>
      <c r="E105" s="13">
        <f t="shared" si="21"/>
        <v>17900.022186294813</v>
      </c>
      <c r="F105" s="13">
        <f t="shared" si="22"/>
        <v>1790.0022186294814</v>
      </c>
      <c r="G105" s="13">
        <f t="shared" si="23"/>
        <v>8950.0110931474064</v>
      </c>
      <c r="H105" s="13">
        <f t="shared" si="25"/>
        <v>46540.057684366511</v>
      </c>
      <c r="I105" s="11">
        <f t="shared" si="24"/>
        <v>8.7246462882717313E-2</v>
      </c>
      <c r="J105" s="11">
        <f>I105*(1/'Assumptions and Parameters Pipe'!$C$6)*('Assumptions and Parameters Pipe'!$C$9/'Assumptions and Parameters Pipe'!$C$7)</f>
        <v>0.13801700343028728</v>
      </c>
    </row>
    <row r="106" spans="1:10">
      <c r="A106" s="4">
        <f t="shared" si="17"/>
        <v>558.79999999999995</v>
      </c>
      <c r="B106" s="9">
        <f t="shared" si="18"/>
        <v>1854675.507167747</v>
      </c>
      <c r="C106" s="15">
        <f t="shared" si="19"/>
        <v>676956.5601162276</v>
      </c>
      <c r="D106" s="13">
        <f t="shared" si="20"/>
        <v>19648.092213577158</v>
      </c>
      <c r="E106" s="13">
        <f t="shared" si="21"/>
        <v>19648.092213577158</v>
      </c>
      <c r="F106" s="13">
        <f t="shared" si="22"/>
        <v>1964.8092213577158</v>
      </c>
      <c r="G106" s="13">
        <f t="shared" si="23"/>
        <v>9824.046106788579</v>
      </c>
      <c r="H106" s="13">
        <f t="shared" si="25"/>
        <v>51085.039755300611</v>
      </c>
      <c r="I106" s="11">
        <f t="shared" si="24"/>
        <v>7.5462803324529051E-2</v>
      </c>
      <c r="J106" s="11">
        <f>I106*(1/'Assumptions and Parameters Pipe'!$C$6)*('Assumptions and Parameters Pipe'!$C$9/'Assumptions and Parameters Pipe'!$C$7)</f>
        <v>0.11937618605010245</v>
      </c>
    </row>
    <row r="107" spans="1:10">
      <c r="A107" s="4">
        <f t="shared" si="17"/>
        <v>609.59999999999991</v>
      </c>
      <c r="B107" s="9">
        <f t="shared" si="18"/>
        <v>2305363.1076621697</v>
      </c>
      <c r="C107" s="15">
        <f t="shared" si="19"/>
        <v>841457.53429669188</v>
      </c>
      <c r="D107" s="13">
        <f t="shared" si="20"/>
        <v>21472.201905875314</v>
      </c>
      <c r="E107" s="13">
        <f t="shared" si="21"/>
        <v>21472.201905875314</v>
      </c>
      <c r="F107" s="13">
        <f t="shared" si="22"/>
        <v>2147.2201905875313</v>
      </c>
      <c r="G107" s="13">
        <f t="shared" si="23"/>
        <v>10736.100952937657</v>
      </c>
      <c r="H107" s="13">
        <f t="shared" si="25"/>
        <v>55827.724955275815</v>
      </c>
      <c r="I107" s="11">
        <f t="shared" si="24"/>
        <v>6.634645561993549E-2</v>
      </c>
      <c r="J107" s="11">
        <f>I107*(1/'Assumptions and Parameters Pipe'!$C$6)*('Assumptions and Parameters Pipe'!$C$9/'Assumptions and Parameters Pipe'!$C$7)</f>
        <v>0.10495484504848551</v>
      </c>
    </row>
    <row r="108" spans="1:10">
      <c r="A108" s="4">
        <f t="shared" si="17"/>
        <v>660.4</v>
      </c>
      <c r="B108" s="9">
        <f t="shared" si="18"/>
        <v>2816077.5125063355</v>
      </c>
      <c r="C108" s="15">
        <f t="shared" si="19"/>
        <v>1027868.2920648124</v>
      </c>
      <c r="D108" s="13">
        <f t="shared" si="20"/>
        <v>23380.874948966179</v>
      </c>
      <c r="E108" s="13">
        <f t="shared" si="21"/>
        <v>23380.874948966179</v>
      </c>
      <c r="F108" s="13">
        <f t="shared" si="22"/>
        <v>2338.087494896618</v>
      </c>
      <c r="G108" s="13">
        <f t="shared" si="23"/>
        <v>11690.437474483089</v>
      </c>
      <c r="H108" s="13">
        <f t="shared" si="25"/>
        <v>60790.274867312066</v>
      </c>
      <c r="I108" s="11">
        <f t="shared" si="24"/>
        <v>5.9142085942932195E-2</v>
      </c>
      <c r="J108" s="11">
        <f>I108*(1/'Assumptions and Parameters Pipe'!$C$6)*('Assumptions and Parameters Pipe'!$C$9/'Assumptions and Parameters Pipe'!$C$7)</f>
        <v>9.3558102056615897E-2</v>
      </c>
    </row>
    <row r="109" spans="1:10">
      <c r="A109" s="4">
        <f t="shared" si="17"/>
        <v>711.19999999999993</v>
      </c>
      <c r="B109" s="9">
        <f t="shared" si="18"/>
        <v>3389271.13567258</v>
      </c>
      <c r="C109" s="15">
        <f t="shared" si="19"/>
        <v>1237083.9645204917</v>
      </c>
      <c r="D109" s="13">
        <f t="shared" si="20"/>
        <v>25383.923791296715</v>
      </c>
      <c r="E109" s="13">
        <f t="shared" si="21"/>
        <v>25383.923791296715</v>
      </c>
      <c r="F109" s="13">
        <f t="shared" si="22"/>
        <v>2538.3923791296716</v>
      </c>
      <c r="G109" s="13">
        <f t="shared" si="23"/>
        <v>12691.961895648357</v>
      </c>
      <c r="H109" s="13">
        <f t="shared" si="25"/>
        <v>65998.201857371459</v>
      </c>
      <c r="I109" s="11">
        <f t="shared" si="24"/>
        <v>5.3349815978702093E-2</v>
      </c>
      <c r="J109" s="11">
        <f>I109*(1/'Assumptions and Parameters Pipe'!$C$6)*('Assumptions and Parameters Pipe'!$C$9/'Assumptions and Parameters Pipe'!$C$7)</f>
        <v>8.4395189118850758E-2</v>
      </c>
    </row>
    <row r="110" spans="1:10">
      <c r="A110" s="4">
        <f t="shared" si="17"/>
        <v>762</v>
      </c>
      <c r="B110" s="9">
        <f t="shared" si="18"/>
        <v>4027303.6105881133</v>
      </c>
      <c r="C110" s="15">
        <f t="shared" si="19"/>
        <v>1469965.8178646616</v>
      </c>
      <c r="D110" s="13">
        <f t="shared" si="20"/>
        <v>27492.644502084473</v>
      </c>
      <c r="E110" s="13">
        <f t="shared" si="21"/>
        <v>27492.644502084473</v>
      </c>
      <c r="F110" s="13">
        <f t="shared" si="22"/>
        <v>2749.2644502084477</v>
      </c>
      <c r="G110" s="13">
        <f t="shared" si="23"/>
        <v>13746.322251042237</v>
      </c>
      <c r="H110" s="13">
        <f t="shared" si="25"/>
        <v>71480.875705419632</v>
      </c>
      <c r="I110" s="11">
        <f t="shared" si="24"/>
        <v>4.8627576802606175E-2</v>
      </c>
      <c r="J110" s="11">
        <f>I110*(1/'Assumptions and Parameters Pipe'!$C$6)*('Assumptions and Parameters Pipe'!$C$9/'Assumptions and Parameters Pipe'!$C$7)</f>
        <v>7.6924980252710329E-2</v>
      </c>
    </row>
    <row r="111" spans="1:10">
      <c r="A111" s="4">
        <f t="shared" si="17"/>
        <v>812.8</v>
      </c>
      <c r="B111" s="9">
        <f t="shared" si="18"/>
        <v>4732451.5939149773</v>
      </c>
      <c r="C111" s="15">
        <f t="shared" si="19"/>
        <v>1727344.8317789666</v>
      </c>
      <c r="D111" s="13">
        <f t="shared" si="20"/>
        <v>29720.041091537263</v>
      </c>
      <c r="E111" s="13">
        <f t="shared" si="21"/>
        <v>29720.041091537263</v>
      </c>
      <c r="F111" s="13">
        <f t="shared" si="22"/>
        <v>2972.0041091537264</v>
      </c>
      <c r="G111" s="13">
        <f t="shared" si="23"/>
        <v>14860.020545768632</v>
      </c>
      <c r="H111" s="13">
        <f t="shared" si="25"/>
        <v>77272.106837996893</v>
      </c>
      <c r="I111" s="11">
        <f t="shared" si="24"/>
        <v>4.4734615472473732E-2</v>
      </c>
      <c r="J111" s="11">
        <f>I111*(1/'Assumptions and Parameters Pipe'!$C$6)*('Assumptions and Parameters Pipe'!$C$9/'Assumptions and Parameters Pipe'!$C$7)</f>
        <v>7.0766623346286125E-2</v>
      </c>
    </row>
    <row r="121" spans="8:8">
      <c r="H121" t="s">
        <v>183</v>
      </c>
    </row>
  </sheetData>
  <mergeCells count="8">
    <mergeCell ref="A4:F4"/>
    <mergeCell ref="A46:G46"/>
    <mergeCell ref="A80:I80"/>
    <mergeCell ref="A97:J97"/>
    <mergeCell ref="A63:I63"/>
    <mergeCell ref="A18:G18"/>
    <mergeCell ref="F24:F25"/>
    <mergeCell ref="A36:G36"/>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A976-1423-49BA-A3A3-6C9E189645D5}">
  <dimension ref="A1:F67"/>
  <sheetViews>
    <sheetView topLeftCell="A36" workbookViewId="0">
      <selection activeCell="B70" sqref="B70"/>
    </sheetView>
  </sheetViews>
  <sheetFormatPr defaultRowHeight="14.25"/>
  <cols>
    <col min="1" max="1" width="20.5" bestFit="1" customWidth="1"/>
    <col min="2" max="2" width="42.125" bestFit="1" customWidth="1"/>
    <col min="3" max="3" width="92.5" bestFit="1" customWidth="1"/>
    <col min="4" max="4" width="26.375" bestFit="1" customWidth="1"/>
    <col min="5" max="5" width="175.5" bestFit="1" customWidth="1"/>
    <col min="6" max="6" width="139.625" bestFit="1" customWidth="1"/>
  </cols>
  <sheetData>
    <row r="1" spans="1:6" ht="18">
      <c r="A1" s="55" t="s">
        <v>38</v>
      </c>
      <c r="B1" s="55"/>
      <c r="C1" s="55"/>
      <c r="D1" s="55"/>
      <c r="E1" s="55"/>
      <c r="F1" s="55"/>
    </row>
    <row r="3" spans="1:6" ht="15">
      <c r="A3" s="59" t="s">
        <v>846</v>
      </c>
      <c r="B3" s="59"/>
      <c r="C3" s="59"/>
      <c r="D3" s="59"/>
      <c r="E3" s="59"/>
      <c r="F3" s="59"/>
    </row>
    <row r="4" spans="1:6" ht="15">
      <c r="A4" s="3" t="s">
        <v>11</v>
      </c>
      <c r="B4" s="3" t="s">
        <v>12</v>
      </c>
      <c r="C4" s="3" t="s">
        <v>13</v>
      </c>
      <c r="D4" s="3" t="s">
        <v>6</v>
      </c>
      <c r="E4" s="3" t="s">
        <v>14</v>
      </c>
      <c r="F4" s="3" t="s">
        <v>37</v>
      </c>
    </row>
    <row r="5" spans="1:6">
      <c r="A5" s="4" t="s">
        <v>836</v>
      </c>
      <c r="B5" s="4" t="s">
        <v>837</v>
      </c>
      <c r="C5" s="50">
        <v>2.016E-3</v>
      </c>
      <c r="D5" s="4" t="s">
        <v>233</v>
      </c>
      <c r="E5" s="4" t="s">
        <v>941</v>
      </c>
      <c r="F5" s="4" t="s">
        <v>942</v>
      </c>
    </row>
    <row r="6" spans="1:6">
      <c r="A6" s="4" t="s">
        <v>836</v>
      </c>
      <c r="B6" s="4" t="s">
        <v>838</v>
      </c>
      <c r="C6" s="50">
        <v>1.405</v>
      </c>
      <c r="D6" s="4" t="s">
        <v>16</v>
      </c>
      <c r="E6" s="4" t="s">
        <v>941</v>
      </c>
      <c r="F6" s="4" t="s">
        <v>943</v>
      </c>
    </row>
    <row r="7" spans="1:6">
      <c r="A7" s="4" t="s">
        <v>836</v>
      </c>
      <c r="B7" s="4" t="s">
        <v>221</v>
      </c>
      <c r="C7" s="50">
        <v>1.03</v>
      </c>
      <c r="D7" s="4" t="s">
        <v>16</v>
      </c>
      <c r="E7" s="4" t="s">
        <v>944</v>
      </c>
      <c r="F7" s="4" t="s">
        <v>945</v>
      </c>
    </row>
    <row r="8" spans="1:6">
      <c r="A8" s="4" t="s">
        <v>839</v>
      </c>
      <c r="B8" s="4" t="s">
        <v>843</v>
      </c>
      <c r="C8" s="50">
        <v>8.3140000000000001</v>
      </c>
      <c r="D8" s="4" t="s">
        <v>653</v>
      </c>
      <c r="E8" s="4" t="s">
        <v>941</v>
      </c>
      <c r="F8" s="4" t="s">
        <v>946</v>
      </c>
    </row>
    <row r="9" spans="1:6">
      <c r="A9" s="4" t="s">
        <v>839</v>
      </c>
      <c r="B9" s="4" t="s">
        <v>840</v>
      </c>
      <c r="C9" s="50">
        <v>289</v>
      </c>
      <c r="D9" s="4" t="s">
        <v>91</v>
      </c>
      <c r="E9" s="4" t="s">
        <v>947</v>
      </c>
      <c r="F9" s="4" t="s">
        <v>948</v>
      </c>
    </row>
    <row r="10" spans="1:6">
      <c r="A10" s="4" t="s">
        <v>949</v>
      </c>
      <c r="B10" s="4" t="s">
        <v>841</v>
      </c>
      <c r="C10" s="50">
        <v>28</v>
      </c>
      <c r="D10" s="4" t="s">
        <v>524</v>
      </c>
      <c r="E10" s="4" t="s">
        <v>944</v>
      </c>
      <c r="F10" s="4" t="s">
        <v>950</v>
      </c>
    </row>
    <row r="11" spans="1:6">
      <c r="A11" s="4" t="s">
        <v>949</v>
      </c>
      <c r="B11" s="4" t="s">
        <v>842</v>
      </c>
      <c r="C11" s="50">
        <v>70</v>
      </c>
      <c r="D11" s="4" t="s">
        <v>524</v>
      </c>
      <c r="E11" s="4" t="s">
        <v>951</v>
      </c>
      <c r="F11" s="4" t="s">
        <v>952</v>
      </c>
    </row>
    <row r="12" spans="1:6">
      <c r="A12" s="4" t="s">
        <v>847</v>
      </c>
      <c r="B12" s="4" t="s">
        <v>848</v>
      </c>
      <c r="C12" s="50">
        <v>2.1</v>
      </c>
      <c r="D12" s="4" t="s">
        <v>852</v>
      </c>
      <c r="E12" s="4" t="s">
        <v>941</v>
      </c>
      <c r="F12" s="4" t="s">
        <v>953</v>
      </c>
    </row>
    <row r="13" spans="1:6">
      <c r="A13" s="4" t="s">
        <v>847</v>
      </c>
      <c r="B13" s="4" t="s">
        <v>954</v>
      </c>
      <c r="C13" s="50" t="b">
        <v>1</v>
      </c>
      <c r="D13" s="4" t="s">
        <v>955</v>
      </c>
      <c r="E13" s="4" t="s">
        <v>941</v>
      </c>
      <c r="F13" s="4" t="s">
        <v>956</v>
      </c>
    </row>
    <row r="14" spans="1:6">
      <c r="A14" s="4" t="s">
        <v>847</v>
      </c>
      <c r="B14" s="4" t="s">
        <v>957</v>
      </c>
      <c r="C14" s="50" t="b">
        <v>1</v>
      </c>
      <c r="D14" s="4" t="s">
        <v>955</v>
      </c>
      <c r="E14" s="4" t="s">
        <v>941</v>
      </c>
      <c r="F14" s="4" t="s">
        <v>958</v>
      </c>
    </row>
    <row r="15" spans="1:6">
      <c r="A15" s="4" t="s">
        <v>847</v>
      </c>
      <c r="B15" s="4" t="s">
        <v>959</v>
      </c>
      <c r="C15" s="50">
        <v>0</v>
      </c>
      <c r="D15" s="4" t="s">
        <v>787</v>
      </c>
      <c r="E15" s="4" t="s">
        <v>941</v>
      </c>
      <c r="F15" s="4" t="s">
        <v>960</v>
      </c>
    </row>
    <row r="16" spans="1:6">
      <c r="A16" s="4" t="s">
        <v>844</v>
      </c>
      <c r="B16" s="4" t="s">
        <v>961</v>
      </c>
      <c r="C16" s="50">
        <v>0.95</v>
      </c>
      <c r="D16" s="4" t="s">
        <v>787</v>
      </c>
      <c r="E16" s="4" t="s">
        <v>941</v>
      </c>
      <c r="F16" s="4" t="s">
        <v>962</v>
      </c>
    </row>
    <row r="17" spans="1:6">
      <c r="A17" s="4" t="s">
        <v>844</v>
      </c>
      <c r="B17" s="4" t="s">
        <v>853</v>
      </c>
      <c r="C17" s="50">
        <v>0.8</v>
      </c>
      <c r="D17" s="4" t="s">
        <v>787</v>
      </c>
      <c r="E17" s="4" t="s">
        <v>941</v>
      </c>
      <c r="F17" s="4" t="s">
        <v>963</v>
      </c>
    </row>
    <row r="18" spans="1:6">
      <c r="A18" s="4" t="s">
        <v>844</v>
      </c>
      <c r="B18" s="4" t="s">
        <v>854</v>
      </c>
      <c r="C18" s="50">
        <v>0.88</v>
      </c>
      <c r="D18" s="4" t="s">
        <v>787</v>
      </c>
      <c r="E18" s="4" t="s">
        <v>947</v>
      </c>
      <c r="F18" s="4" t="s">
        <v>964</v>
      </c>
    </row>
    <row r="19" spans="1:6">
      <c r="A19" s="4" t="s">
        <v>965</v>
      </c>
      <c r="B19" s="4" t="s">
        <v>855</v>
      </c>
      <c r="C19" s="50">
        <v>16000</v>
      </c>
      <c r="D19" s="4" t="s">
        <v>966</v>
      </c>
      <c r="E19" s="4" t="s">
        <v>941</v>
      </c>
      <c r="F19" s="4" t="s">
        <v>967</v>
      </c>
    </row>
    <row r="20" spans="1:6">
      <c r="A20" s="4" t="s">
        <v>965</v>
      </c>
      <c r="B20" s="4" t="s">
        <v>968</v>
      </c>
      <c r="C20" s="50" t="s">
        <v>989</v>
      </c>
      <c r="D20" s="4" t="s">
        <v>856</v>
      </c>
      <c r="E20" s="4" t="s">
        <v>969</v>
      </c>
      <c r="F20" s="4" t="s">
        <v>970</v>
      </c>
    </row>
    <row r="21" spans="1:6">
      <c r="A21" s="4" t="s">
        <v>965</v>
      </c>
      <c r="B21" s="4" t="s">
        <v>971</v>
      </c>
      <c r="C21" s="50" t="s">
        <v>972</v>
      </c>
      <c r="D21" s="4" t="s">
        <v>966</v>
      </c>
      <c r="E21" s="4" t="s">
        <v>969</v>
      </c>
      <c r="F21" s="4" t="s">
        <v>973</v>
      </c>
    </row>
    <row r="22" spans="1:6">
      <c r="A22" s="4" t="s">
        <v>965</v>
      </c>
      <c r="B22" s="4" t="s">
        <v>974</v>
      </c>
      <c r="C22" s="50">
        <v>0</v>
      </c>
      <c r="D22" s="4" t="s">
        <v>856</v>
      </c>
      <c r="E22" s="4" t="s">
        <v>529</v>
      </c>
      <c r="F22" s="5" t="s">
        <v>975</v>
      </c>
    </row>
    <row r="23" spans="1:6">
      <c r="A23" s="4" t="s">
        <v>976</v>
      </c>
      <c r="B23" s="4" t="s">
        <v>977</v>
      </c>
      <c r="C23" s="50">
        <v>250</v>
      </c>
      <c r="D23" s="4" t="s">
        <v>97</v>
      </c>
      <c r="E23" s="4" t="s">
        <v>947</v>
      </c>
      <c r="F23" s="5" t="s">
        <v>978</v>
      </c>
    </row>
    <row r="24" spans="1:6">
      <c r="A24" s="4" t="s">
        <v>976</v>
      </c>
      <c r="B24" s="4" t="s">
        <v>979</v>
      </c>
      <c r="C24" s="51">
        <v>1</v>
      </c>
      <c r="D24" s="4" t="s">
        <v>980</v>
      </c>
      <c r="E24" s="4" t="s">
        <v>529</v>
      </c>
      <c r="F24" s="4" t="s">
        <v>981</v>
      </c>
    </row>
    <row r="25" spans="1:6">
      <c r="A25" s="4" t="s">
        <v>982</v>
      </c>
      <c r="B25" s="4" t="s">
        <v>938</v>
      </c>
      <c r="C25" s="51">
        <v>365</v>
      </c>
      <c r="D25" s="4" t="s">
        <v>142</v>
      </c>
      <c r="E25" s="4" t="s">
        <v>939</v>
      </c>
      <c r="F25" s="4" t="s">
        <v>983</v>
      </c>
    </row>
    <row r="26" spans="1:6">
      <c r="A26" s="4" t="s">
        <v>982</v>
      </c>
      <c r="B26" s="4" t="s">
        <v>984</v>
      </c>
      <c r="C26" s="52">
        <v>24</v>
      </c>
      <c r="D26" s="4" t="s">
        <v>985</v>
      </c>
      <c r="E26" s="4" t="s">
        <v>939</v>
      </c>
      <c r="F26" s="4" t="s">
        <v>986</v>
      </c>
    </row>
    <row r="27" spans="1:6">
      <c r="A27" s="4" t="s">
        <v>982</v>
      </c>
      <c r="B27" s="4" t="s">
        <v>987</v>
      </c>
      <c r="C27" s="52">
        <v>8760</v>
      </c>
      <c r="D27" s="4" t="s">
        <v>401</v>
      </c>
      <c r="E27" s="4" t="s">
        <v>939</v>
      </c>
      <c r="F27" s="4" t="s">
        <v>988</v>
      </c>
    </row>
    <row r="28" spans="1:6">
      <c r="A28" s="1"/>
      <c r="B28" s="1"/>
      <c r="C28" s="1"/>
      <c r="D28" s="1"/>
      <c r="E28" s="1"/>
      <c r="F28" s="1"/>
    </row>
    <row r="30" spans="1:6" ht="15">
      <c r="A30" s="59" t="s">
        <v>857</v>
      </c>
      <c r="B30" s="59"/>
      <c r="C30" s="59"/>
      <c r="D30" s="59"/>
      <c r="E30" s="59"/>
      <c r="F30" s="59"/>
    </row>
    <row r="31" spans="1:6" ht="15">
      <c r="A31" s="49" t="s">
        <v>11</v>
      </c>
      <c r="B31" s="49" t="s">
        <v>12</v>
      </c>
      <c r="C31" s="49" t="s">
        <v>13</v>
      </c>
      <c r="D31" s="49" t="s">
        <v>6</v>
      </c>
      <c r="E31" s="49" t="s">
        <v>14</v>
      </c>
      <c r="F31" s="49" t="s">
        <v>37</v>
      </c>
    </row>
    <row r="32" spans="1:6">
      <c r="A32" s="39" t="s">
        <v>23</v>
      </c>
      <c r="B32" s="39" t="s">
        <v>867</v>
      </c>
      <c r="C32" s="39">
        <v>3083.3</v>
      </c>
      <c r="D32" s="39" t="s">
        <v>746</v>
      </c>
      <c r="E32" s="39" t="s">
        <v>845</v>
      </c>
      <c r="F32" s="39" t="s">
        <v>868</v>
      </c>
    </row>
    <row r="33" spans="1:6">
      <c r="A33" s="39" t="s">
        <v>23</v>
      </c>
      <c r="B33" s="39" t="s">
        <v>858</v>
      </c>
      <c r="C33" s="39">
        <v>0.83350000000000002</v>
      </c>
      <c r="D33" s="39" t="s">
        <v>16</v>
      </c>
      <c r="E33" s="39" t="s">
        <v>845</v>
      </c>
      <c r="F33" s="39" t="s">
        <v>869</v>
      </c>
    </row>
    <row r="34" spans="1:6">
      <c r="A34" s="39" t="s">
        <v>23</v>
      </c>
      <c r="B34" s="39" t="s">
        <v>244</v>
      </c>
      <c r="C34" s="39">
        <v>2</v>
      </c>
      <c r="D34" s="39" t="s">
        <v>332</v>
      </c>
      <c r="E34" s="39" t="s">
        <v>845</v>
      </c>
      <c r="F34" s="39" t="s">
        <v>870</v>
      </c>
    </row>
    <row r="35" spans="1:6">
      <c r="A35" s="39" t="s">
        <v>23</v>
      </c>
      <c r="B35" s="39" t="s">
        <v>859</v>
      </c>
      <c r="C35" s="39">
        <v>15</v>
      </c>
      <c r="D35" s="39" t="s">
        <v>18</v>
      </c>
      <c r="E35" s="39" t="s">
        <v>845</v>
      </c>
      <c r="F35" s="39" t="s">
        <v>871</v>
      </c>
    </row>
    <row r="36" spans="1:6">
      <c r="A36" s="39" t="s">
        <v>23</v>
      </c>
      <c r="B36" s="39" t="s">
        <v>860</v>
      </c>
      <c r="C36" s="39">
        <v>2019</v>
      </c>
      <c r="D36" s="39" t="s">
        <v>862</v>
      </c>
      <c r="E36" s="39" t="s">
        <v>845</v>
      </c>
      <c r="F36" s="39" t="s">
        <v>872</v>
      </c>
    </row>
    <row r="37" spans="1:6">
      <c r="A37" s="39" t="s">
        <v>23</v>
      </c>
      <c r="B37" s="39" t="s">
        <v>861</v>
      </c>
      <c r="C37" s="39">
        <v>2020</v>
      </c>
      <c r="D37" s="39" t="s">
        <v>862</v>
      </c>
      <c r="E37" s="39" t="s">
        <v>529</v>
      </c>
      <c r="F37" s="39" t="s">
        <v>873</v>
      </c>
    </row>
    <row r="38" spans="1:6">
      <c r="A38" s="38" t="s">
        <v>39</v>
      </c>
      <c r="B38" s="38" t="s">
        <v>874</v>
      </c>
      <c r="C38" s="38">
        <v>0.05</v>
      </c>
      <c r="D38" s="38" t="s">
        <v>9</v>
      </c>
      <c r="E38" s="38" t="s">
        <v>875</v>
      </c>
      <c r="F38" s="38" t="s">
        <v>876</v>
      </c>
    </row>
    <row r="39" spans="1:6">
      <c r="A39" s="38" t="s">
        <v>39</v>
      </c>
      <c r="B39" s="38" t="s">
        <v>877</v>
      </c>
      <c r="C39" s="38">
        <v>0.1</v>
      </c>
      <c r="D39" s="38" t="s">
        <v>9</v>
      </c>
      <c r="E39" s="38" t="s">
        <v>875</v>
      </c>
      <c r="F39" s="38" t="s">
        <v>876</v>
      </c>
    </row>
    <row r="40" spans="1:6">
      <c r="A40" s="39" t="s">
        <v>39</v>
      </c>
      <c r="B40" s="39" t="s">
        <v>878</v>
      </c>
      <c r="C40" s="39">
        <v>0.1</v>
      </c>
      <c r="D40" s="39" t="s">
        <v>9</v>
      </c>
      <c r="E40" s="39" t="s">
        <v>875</v>
      </c>
      <c r="F40" s="39" t="s">
        <v>876</v>
      </c>
    </row>
    <row r="41" spans="1:6">
      <c r="A41" s="39" t="s">
        <v>39</v>
      </c>
      <c r="B41" s="39" t="s">
        <v>879</v>
      </c>
      <c r="C41" s="39">
        <v>0.03</v>
      </c>
      <c r="D41" s="39" t="s">
        <v>9</v>
      </c>
      <c r="E41" s="39" t="s">
        <v>875</v>
      </c>
      <c r="F41" s="39" t="s">
        <v>880</v>
      </c>
    </row>
    <row r="42" spans="1:6">
      <c r="A42" s="39" t="s">
        <v>39</v>
      </c>
      <c r="B42" s="39" t="s">
        <v>881</v>
      </c>
      <c r="C42" s="39">
        <v>0.28000000000000003</v>
      </c>
      <c r="D42" s="39" t="s">
        <v>9</v>
      </c>
      <c r="E42" s="39" t="s">
        <v>875</v>
      </c>
      <c r="F42" s="39" t="s">
        <v>882</v>
      </c>
    </row>
    <row r="43" spans="1:6">
      <c r="A43" s="39" t="s">
        <v>39</v>
      </c>
      <c r="B43" s="39" t="s">
        <v>883</v>
      </c>
      <c r="C43" s="39" t="s">
        <v>884</v>
      </c>
      <c r="D43" s="39" t="s">
        <v>885</v>
      </c>
      <c r="E43" s="39" t="s">
        <v>886</v>
      </c>
      <c r="F43" s="39" t="s">
        <v>887</v>
      </c>
    </row>
    <row r="44" spans="1:6">
      <c r="A44" s="39" t="s">
        <v>794</v>
      </c>
      <c r="B44" s="39" t="s">
        <v>186</v>
      </c>
      <c r="C44" s="39">
        <v>103.3</v>
      </c>
      <c r="D44" s="39" t="s">
        <v>800</v>
      </c>
      <c r="E44" s="39" t="s">
        <v>184</v>
      </c>
      <c r="F44" s="39" t="s">
        <v>888</v>
      </c>
    </row>
    <row r="45" spans="1:6">
      <c r="A45" s="39" t="s">
        <v>794</v>
      </c>
      <c r="B45" s="39" t="s">
        <v>187</v>
      </c>
      <c r="C45" s="39">
        <v>105</v>
      </c>
      <c r="D45" s="39" t="s">
        <v>800</v>
      </c>
      <c r="E45" s="39" t="s">
        <v>184</v>
      </c>
      <c r="F45" s="39" t="s">
        <v>889</v>
      </c>
    </row>
    <row r="46" spans="1:6">
      <c r="A46" s="39" t="s">
        <v>794</v>
      </c>
      <c r="B46" s="39" t="s">
        <v>890</v>
      </c>
      <c r="C46" s="39" t="s">
        <v>891</v>
      </c>
      <c r="D46" s="39" t="s">
        <v>332</v>
      </c>
      <c r="E46" s="39" t="s">
        <v>892</v>
      </c>
      <c r="F46" s="39" t="s">
        <v>893</v>
      </c>
    </row>
    <row r="47" spans="1:6">
      <c r="A47" s="39" t="s">
        <v>894</v>
      </c>
      <c r="B47" s="39" t="s">
        <v>895</v>
      </c>
      <c r="C47" s="39">
        <v>288</v>
      </c>
      <c r="D47" s="39" t="s">
        <v>401</v>
      </c>
      <c r="E47" s="39" t="s">
        <v>845</v>
      </c>
      <c r="F47" s="39" t="s">
        <v>896</v>
      </c>
    </row>
    <row r="48" spans="1:6">
      <c r="A48" s="39" t="s">
        <v>894</v>
      </c>
      <c r="B48" s="39" t="s">
        <v>897</v>
      </c>
      <c r="C48" s="39">
        <v>0.25</v>
      </c>
      <c r="D48" s="39" t="s">
        <v>16</v>
      </c>
      <c r="E48" s="39" t="s">
        <v>845</v>
      </c>
      <c r="F48" s="39" t="s">
        <v>898</v>
      </c>
    </row>
    <row r="49" spans="1:6">
      <c r="A49" s="39" t="s">
        <v>894</v>
      </c>
      <c r="B49" s="39" t="s">
        <v>899</v>
      </c>
      <c r="C49" s="39">
        <v>100000</v>
      </c>
      <c r="D49" s="39" t="s">
        <v>163</v>
      </c>
      <c r="E49" s="39" t="s">
        <v>845</v>
      </c>
      <c r="F49" s="39" t="s">
        <v>900</v>
      </c>
    </row>
    <row r="50" spans="1:6">
      <c r="A50" s="39" t="s">
        <v>894</v>
      </c>
      <c r="B50" s="39" t="s">
        <v>901</v>
      </c>
      <c r="C50" s="39">
        <v>49.6</v>
      </c>
      <c r="D50" s="39" t="s">
        <v>445</v>
      </c>
      <c r="E50" s="39" t="s">
        <v>875</v>
      </c>
      <c r="F50" s="39" t="s">
        <v>902</v>
      </c>
    </row>
    <row r="51" spans="1:6">
      <c r="A51" s="39" t="s">
        <v>894</v>
      </c>
      <c r="B51" s="39" t="s">
        <v>903</v>
      </c>
      <c r="C51" s="39">
        <v>0.5</v>
      </c>
      <c r="D51" s="39" t="s">
        <v>406</v>
      </c>
      <c r="E51" s="39" t="s">
        <v>845</v>
      </c>
      <c r="F51" s="39" t="s">
        <v>904</v>
      </c>
    </row>
    <row r="52" spans="1:6">
      <c r="A52" s="39" t="s">
        <v>894</v>
      </c>
      <c r="B52" s="39" t="s">
        <v>905</v>
      </c>
      <c r="C52" s="39" t="s">
        <v>906</v>
      </c>
      <c r="D52" s="39" t="s">
        <v>394</v>
      </c>
      <c r="E52" s="39" t="s">
        <v>845</v>
      </c>
      <c r="F52" s="39" t="s">
        <v>907</v>
      </c>
    </row>
    <row r="53" spans="1:6">
      <c r="A53" s="39" t="s">
        <v>894</v>
      </c>
      <c r="B53" s="39" t="s">
        <v>908</v>
      </c>
      <c r="C53" s="39" t="s">
        <v>909</v>
      </c>
      <c r="D53" s="39" t="s">
        <v>394</v>
      </c>
      <c r="E53" s="39" t="s">
        <v>845</v>
      </c>
      <c r="F53" s="39" t="s">
        <v>910</v>
      </c>
    </row>
    <row r="54" spans="1:6">
      <c r="A54" s="39" t="s">
        <v>863</v>
      </c>
      <c r="B54" s="39" t="s">
        <v>911</v>
      </c>
      <c r="C54" s="39">
        <v>0.04</v>
      </c>
      <c r="D54" s="39" t="s">
        <v>912</v>
      </c>
      <c r="E54" s="39" t="s">
        <v>845</v>
      </c>
      <c r="F54" s="39" t="s">
        <v>913</v>
      </c>
    </row>
    <row r="55" spans="1:6">
      <c r="A55" s="39" t="s">
        <v>863</v>
      </c>
      <c r="B55" s="39" t="s">
        <v>914</v>
      </c>
      <c r="C55" s="39">
        <v>0.01</v>
      </c>
      <c r="D55" s="39" t="s">
        <v>915</v>
      </c>
      <c r="E55" s="39" t="s">
        <v>845</v>
      </c>
      <c r="F55" s="39" t="s">
        <v>916</v>
      </c>
    </row>
    <row r="56" spans="1:6">
      <c r="A56" s="39" t="s">
        <v>863</v>
      </c>
      <c r="B56" s="39" t="s">
        <v>917</v>
      </c>
      <c r="C56" s="39">
        <v>0.01</v>
      </c>
      <c r="D56" s="39" t="s">
        <v>915</v>
      </c>
      <c r="E56" s="39" t="s">
        <v>845</v>
      </c>
      <c r="F56" s="39" t="s">
        <v>918</v>
      </c>
    </row>
    <row r="57" spans="1:6">
      <c r="A57" s="39" t="s">
        <v>863</v>
      </c>
      <c r="B57" s="39" t="s">
        <v>919</v>
      </c>
      <c r="C57" s="39">
        <v>1E-3</v>
      </c>
      <c r="D57" s="39" t="s">
        <v>915</v>
      </c>
      <c r="E57" s="39" t="s">
        <v>845</v>
      </c>
      <c r="F57" s="39" t="s">
        <v>920</v>
      </c>
    </row>
    <row r="58" spans="1:6">
      <c r="A58" s="39" t="s">
        <v>863</v>
      </c>
      <c r="B58" s="39" t="s">
        <v>864</v>
      </c>
      <c r="C58" s="39" t="s">
        <v>921</v>
      </c>
      <c r="D58" s="39" t="s">
        <v>394</v>
      </c>
      <c r="E58" s="39" t="s">
        <v>845</v>
      </c>
      <c r="F58" s="39" t="s">
        <v>922</v>
      </c>
    </row>
    <row r="59" spans="1:6">
      <c r="A59" s="39" t="s">
        <v>863</v>
      </c>
      <c r="B59" s="39" t="s">
        <v>21</v>
      </c>
      <c r="C59" s="39" t="s">
        <v>923</v>
      </c>
      <c r="D59" s="39" t="s">
        <v>394</v>
      </c>
      <c r="E59" s="39" t="s">
        <v>845</v>
      </c>
      <c r="F59" s="39" t="s">
        <v>924</v>
      </c>
    </row>
    <row r="60" spans="1:6">
      <c r="A60" s="39" t="s">
        <v>863</v>
      </c>
      <c r="B60" s="39" t="s">
        <v>22</v>
      </c>
      <c r="C60" s="39" t="s">
        <v>923</v>
      </c>
      <c r="D60" s="39" t="s">
        <v>394</v>
      </c>
      <c r="E60" s="39" t="s">
        <v>845</v>
      </c>
      <c r="F60" s="39" t="s">
        <v>925</v>
      </c>
    </row>
    <row r="61" spans="1:6">
      <c r="A61" s="39" t="s">
        <v>863</v>
      </c>
      <c r="B61" s="39" t="s">
        <v>65</v>
      </c>
      <c r="C61" s="39" t="s">
        <v>926</v>
      </c>
      <c r="D61" s="39" t="s">
        <v>394</v>
      </c>
      <c r="E61" s="39" t="s">
        <v>845</v>
      </c>
      <c r="F61" s="39" t="s">
        <v>927</v>
      </c>
    </row>
    <row r="62" spans="1:6">
      <c r="A62" s="39" t="s">
        <v>863</v>
      </c>
      <c r="B62" s="39" t="s">
        <v>865</v>
      </c>
      <c r="C62" s="39" t="s">
        <v>928</v>
      </c>
      <c r="D62" s="39" t="s">
        <v>394</v>
      </c>
      <c r="E62" s="39" t="s">
        <v>845</v>
      </c>
      <c r="F62" s="39" t="s">
        <v>929</v>
      </c>
    </row>
    <row r="63" spans="1:6">
      <c r="A63" s="39" t="s">
        <v>863</v>
      </c>
      <c r="B63" s="39" t="s">
        <v>866</v>
      </c>
      <c r="C63" s="39" t="s">
        <v>930</v>
      </c>
      <c r="D63" s="39" t="s">
        <v>394</v>
      </c>
      <c r="E63" s="39" t="s">
        <v>845</v>
      </c>
      <c r="F63" s="39" t="s">
        <v>931</v>
      </c>
    </row>
    <row r="64" spans="1:6">
      <c r="A64" s="39" t="s">
        <v>863</v>
      </c>
      <c r="B64" s="39" t="s">
        <v>932</v>
      </c>
      <c r="C64" s="39" t="s">
        <v>933</v>
      </c>
      <c r="D64" s="39" t="s">
        <v>394</v>
      </c>
      <c r="E64" s="39" t="s">
        <v>845</v>
      </c>
      <c r="F64" s="39" t="s">
        <v>934</v>
      </c>
    </row>
    <row r="65" spans="1:6">
      <c r="A65" s="39" t="s">
        <v>935</v>
      </c>
      <c r="B65" s="39" t="s">
        <v>936</v>
      </c>
      <c r="C65" s="39">
        <v>0.9</v>
      </c>
      <c r="D65" s="39" t="s">
        <v>787</v>
      </c>
      <c r="E65" s="39" t="s">
        <v>845</v>
      </c>
      <c r="F65" s="39" t="s">
        <v>937</v>
      </c>
    </row>
    <row r="66" spans="1:6">
      <c r="A66" s="39" t="s">
        <v>935</v>
      </c>
      <c r="B66" s="39" t="s">
        <v>938</v>
      </c>
      <c r="C66" s="39">
        <v>365</v>
      </c>
      <c r="D66" s="39" t="s">
        <v>142</v>
      </c>
      <c r="E66" s="39" t="s">
        <v>939</v>
      </c>
      <c r="F66" s="39" t="s">
        <v>940</v>
      </c>
    </row>
    <row r="67" spans="1:6" ht="15">
      <c r="A67" s="4" t="s">
        <v>844</v>
      </c>
      <c r="B67" s="4" t="s">
        <v>990</v>
      </c>
      <c r="C67" s="3" t="s">
        <v>993</v>
      </c>
      <c r="D67" s="4" t="s">
        <v>16</v>
      </c>
      <c r="E67" s="4" t="s">
        <v>991</v>
      </c>
      <c r="F67" s="4" t="s">
        <v>992</v>
      </c>
    </row>
  </sheetData>
  <mergeCells count="3">
    <mergeCell ref="A30:F30"/>
    <mergeCell ref="A1:F1"/>
    <mergeCell ref="A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A147-0963-460C-A246-34EDBA5473C0}">
  <dimension ref="A1:J151"/>
  <sheetViews>
    <sheetView topLeftCell="B107" workbookViewId="0">
      <selection activeCell="B119" sqref="B119"/>
    </sheetView>
  </sheetViews>
  <sheetFormatPr defaultRowHeight="14.25"/>
  <cols>
    <col min="1" max="1" width="74" bestFit="1" customWidth="1"/>
    <col min="2" max="2" width="80" bestFit="1" customWidth="1"/>
    <col min="3" max="3" width="32.5" bestFit="1" customWidth="1"/>
    <col min="4" max="4" width="46.5" bestFit="1" customWidth="1"/>
    <col min="5" max="5" width="74.25" bestFit="1" customWidth="1"/>
    <col min="6" max="6" width="54.875" bestFit="1" customWidth="1"/>
    <col min="7" max="7" width="130.5" bestFit="1" customWidth="1"/>
    <col min="8" max="8" width="51.5" bestFit="1" customWidth="1"/>
    <col min="9" max="9" width="37.75" bestFit="1" customWidth="1"/>
    <col min="10" max="10" width="62" bestFit="1" customWidth="1"/>
    <col min="11" max="11" width="39.875" bestFit="1" customWidth="1"/>
  </cols>
  <sheetData>
    <row r="1" spans="1:5" ht="15">
      <c r="A1" s="3" t="s">
        <v>835</v>
      </c>
    </row>
    <row r="2" spans="1:5" ht="99.75">
      <c r="A2" s="5" t="s">
        <v>994</v>
      </c>
    </row>
    <row r="3" spans="1:5">
      <c r="A3" s="16"/>
    </row>
    <row r="5" spans="1:5" ht="15">
      <c r="A5" s="3" t="s">
        <v>169</v>
      </c>
      <c r="B5" s="3" t="s">
        <v>228</v>
      </c>
    </row>
    <row r="6" spans="1:5" ht="28.5">
      <c r="A6" s="17" t="s">
        <v>198</v>
      </c>
      <c r="B6" s="4" t="s">
        <v>224</v>
      </c>
    </row>
    <row r="7" spans="1:5">
      <c r="A7" s="18" t="s">
        <v>199</v>
      </c>
      <c r="B7" s="4" t="s">
        <v>225</v>
      </c>
    </row>
    <row r="8" spans="1:5">
      <c r="A8" s="18" t="s">
        <v>170</v>
      </c>
      <c r="B8" s="5" t="s">
        <v>226</v>
      </c>
    </row>
    <row r="9" spans="1:5">
      <c r="A9" s="18" t="s">
        <v>172</v>
      </c>
      <c r="B9" s="5" t="s">
        <v>227</v>
      </c>
    </row>
    <row r="10" spans="1:5" ht="42.75" customHeight="1">
      <c r="A10" s="17" t="s">
        <v>219</v>
      </c>
      <c r="B10" s="5" t="s">
        <v>236</v>
      </c>
    </row>
    <row r="11" spans="1:5" ht="28.5">
      <c r="A11" s="17" t="s">
        <v>188</v>
      </c>
    </row>
    <row r="12" spans="1:5">
      <c r="A12" s="53"/>
    </row>
    <row r="13" spans="1:5">
      <c r="A13" s="53"/>
    </row>
    <row r="14" spans="1:5" ht="15">
      <c r="A14" s="56" t="s">
        <v>238</v>
      </c>
      <c r="B14" s="56"/>
      <c r="C14" s="56"/>
      <c r="D14" s="56"/>
      <c r="E14" s="56"/>
    </row>
    <row r="15" spans="1:5" ht="15">
      <c r="A15" s="33" t="s">
        <v>239</v>
      </c>
      <c r="B15" s="3" t="s">
        <v>74</v>
      </c>
      <c r="C15" s="3" t="s">
        <v>89</v>
      </c>
      <c r="D15" s="3" t="s">
        <v>7</v>
      </c>
      <c r="E15" s="3" t="s">
        <v>75</v>
      </c>
    </row>
    <row r="16" spans="1:5">
      <c r="A16" s="17" t="s">
        <v>71</v>
      </c>
      <c r="B16" s="4">
        <v>0.75</v>
      </c>
      <c r="C16" s="4" t="s">
        <v>440</v>
      </c>
      <c r="D16" s="4" t="s">
        <v>1016</v>
      </c>
      <c r="E16" s="4" t="s">
        <v>1017</v>
      </c>
    </row>
    <row r="17" spans="1:7">
      <c r="A17" s="17" t="s">
        <v>1018</v>
      </c>
      <c r="B17" s="4">
        <v>1.179</v>
      </c>
      <c r="C17" s="4" t="s">
        <v>332</v>
      </c>
      <c r="D17" s="4" t="s">
        <v>1019</v>
      </c>
      <c r="E17" s="4" t="s">
        <v>1017</v>
      </c>
    </row>
    <row r="18" spans="1:7">
      <c r="A18" s="17" t="s">
        <v>240</v>
      </c>
      <c r="B18" s="4">
        <v>0.08</v>
      </c>
      <c r="C18" s="4" t="s">
        <v>787</v>
      </c>
      <c r="D18" s="4" t="s">
        <v>1020</v>
      </c>
      <c r="E18" s="4" t="s">
        <v>1017</v>
      </c>
    </row>
    <row r="19" spans="1:7">
      <c r="A19" s="17" t="s">
        <v>241</v>
      </c>
      <c r="B19" s="4">
        <v>15</v>
      </c>
      <c r="C19" s="4" t="s">
        <v>18</v>
      </c>
      <c r="D19" s="4" t="s">
        <v>1021</v>
      </c>
      <c r="E19" s="4" t="s">
        <v>1017</v>
      </c>
    </row>
    <row r="20" spans="1:7">
      <c r="A20" s="17" t="s">
        <v>936</v>
      </c>
      <c r="B20" s="4">
        <v>0.9</v>
      </c>
      <c r="C20" s="4" t="s">
        <v>787</v>
      </c>
      <c r="D20" s="4" t="s">
        <v>1022</v>
      </c>
      <c r="E20" s="4" t="s">
        <v>1023</v>
      </c>
    </row>
    <row r="21" spans="1:7">
      <c r="A21" s="17" t="s">
        <v>1024</v>
      </c>
      <c r="B21" s="4">
        <v>1</v>
      </c>
      <c r="C21" s="4" t="s">
        <v>787</v>
      </c>
      <c r="D21" s="4" t="s">
        <v>1025</v>
      </c>
      <c r="E21" s="4" t="s">
        <v>529</v>
      </c>
    </row>
    <row r="22" spans="1:7">
      <c r="A22" s="17" t="s">
        <v>858</v>
      </c>
      <c r="B22" s="4">
        <v>0.83350000000000002</v>
      </c>
      <c r="C22" s="4" t="s">
        <v>16</v>
      </c>
      <c r="D22" s="4" t="s">
        <v>1026</v>
      </c>
      <c r="E22" s="4" t="s">
        <v>1027</v>
      </c>
    </row>
    <row r="23" spans="1:7">
      <c r="A23" s="17" t="s">
        <v>244</v>
      </c>
      <c r="B23" s="4">
        <v>2</v>
      </c>
      <c r="C23" s="4" t="s">
        <v>332</v>
      </c>
      <c r="D23" s="4" t="s">
        <v>1028</v>
      </c>
      <c r="E23" s="4" t="s">
        <v>1027</v>
      </c>
    </row>
    <row r="24" spans="1:7">
      <c r="A24" s="17" t="s">
        <v>1029</v>
      </c>
      <c r="B24" s="4">
        <f>24*365</f>
        <v>8760</v>
      </c>
      <c r="C24" s="4" t="s">
        <v>401</v>
      </c>
      <c r="D24" s="4" t="s">
        <v>1030</v>
      </c>
      <c r="E24" s="4" t="s">
        <v>939</v>
      </c>
    </row>
    <row r="25" spans="1:7">
      <c r="A25" s="17" t="s">
        <v>250</v>
      </c>
      <c r="B25" s="4">
        <v>0.11</v>
      </c>
      <c r="C25" s="4" t="s">
        <v>1031</v>
      </c>
      <c r="D25" s="4" t="s">
        <v>1032</v>
      </c>
      <c r="E25" s="4" t="s">
        <v>1017</v>
      </c>
    </row>
    <row r="26" spans="1:7">
      <c r="A26" s="17" t="s">
        <v>861</v>
      </c>
      <c r="B26" s="4">
        <v>2020</v>
      </c>
      <c r="C26" s="4" t="s">
        <v>862</v>
      </c>
      <c r="D26" s="4" t="s">
        <v>1033</v>
      </c>
      <c r="E26" s="4" t="s">
        <v>529</v>
      </c>
    </row>
    <row r="27" spans="1:7">
      <c r="A27" s="17" t="s">
        <v>1034</v>
      </c>
      <c r="B27" s="4">
        <v>103.3</v>
      </c>
      <c r="C27" s="4" t="s">
        <v>800</v>
      </c>
      <c r="D27" s="4" t="s">
        <v>1035</v>
      </c>
      <c r="E27" s="4" t="s">
        <v>1036</v>
      </c>
    </row>
    <row r="28" spans="1:7">
      <c r="A28" s="17" t="s">
        <v>1037</v>
      </c>
      <c r="B28" s="4">
        <v>105</v>
      </c>
      <c r="C28" s="4" t="s">
        <v>800</v>
      </c>
      <c r="D28" s="4" t="s">
        <v>1038</v>
      </c>
      <c r="E28" s="4" t="s">
        <v>1036</v>
      </c>
    </row>
    <row r="29" spans="1:7">
      <c r="A29" s="53"/>
    </row>
    <row r="30" spans="1:7">
      <c r="A30" s="53"/>
    </row>
    <row r="31" spans="1:7" ht="15">
      <c r="A31" s="59" t="s">
        <v>229</v>
      </c>
      <c r="B31" s="59"/>
      <c r="C31" s="59"/>
      <c r="D31" s="59"/>
      <c r="E31" s="59"/>
      <c r="F31" s="59"/>
      <c r="G31" s="59"/>
    </row>
    <row r="32" spans="1:7" ht="15">
      <c r="A32" s="33" t="s">
        <v>72</v>
      </c>
      <c r="B32" s="3" t="s">
        <v>73</v>
      </c>
      <c r="C32" s="3" t="s">
        <v>74</v>
      </c>
      <c r="D32" s="3" t="s">
        <v>6</v>
      </c>
      <c r="E32" s="3" t="s">
        <v>123</v>
      </c>
      <c r="F32" s="3" t="s">
        <v>7</v>
      </c>
      <c r="G32" s="3" t="s">
        <v>75</v>
      </c>
    </row>
    <row r="33" spans="1:7">
      <c r="A33" s="17" t="s">
        <v>633</v>
      </c>
      <c r="B33" s="4" t="s">
        <v>837</v>
      </c>
      <c r="C33" s="4">
        <v>2E-3</v>
      </c>
      <c r="D33" s="4" t="s">
        <v>233</v>
      </c>
      <c r="E33" s="4" t="s">
        <v>139</v>
      </c>
      <c r="F33" s="4" t="s">
        <v>995</v>
      </c>
      <c r="G33" s="4" t="s">
        <v>996</v>
      </c>
    </row>
    <row r="34" spans="1:7">
      <c r="A34" s="17" t="s">
        <v>220</v>
      </c>
      <c r="B34" s="4" t="s">
        <v>997</v>
      </c>
      <c r="C34" s="4">
        <v>1.405</v>
      </c>
      <c r="D34" s="4" t="s">
        <v>16</v>
      </c>
      <c r="E34" s="4" t="s">
        <v>139</v>
      </c>
      <c r="F34" s="4" t="s">
        <v>998</v>
      </c>
      <c r="G34" s="4" t="s">
        <v>941</v>
      </c>
    </row>
    <row r="35" spans="1:7">
      <c r="A35" s="17" t="s">
        <v>84</v>
      </c>
      <c r="B35" s="4" t="s">
        <v>999</v>
      </c>
      <c r="C35" s="4">
        <v>1.03</v>
      </c>
      <c r="D35" s="4" t="s">
        <v>16</v>
      </c>
      <c r="E35" s="4" t="s">
        <v>139</v>
      </c>
      <c r="F35" s="4" t="s">
        <v>1000</v>
      </c>
      <c r="G35" s="4" t="s">
        <v>1001</v>
      </c>
    </row>
    <row r="36" spans="1:7">
      <c r="A36" s="17" t="s">
        <v>1002</v>
      </c>
      <c r="B36" s="4" t="s">
        <v>1003</v>
      </c>
      <c r="C36" s="4">
        <v>2.1</v>
      </c>
      <c r="D36" s="4" t="s">
        <v>16</v>
      </c>
      <c r="E36" s="4" t="s">
        <v>139</v>
      </c>
      <c r="F36" s="4" t="s">
        <v>1004</v>
      </c>
      <c r="G36" s="4" t="s">
        <v>941</v>
      </c>
    </row>
    <row r="37" spans="1:7">
      <c r="A37" s="17" t="s">
        <v>658</v>
      </c>
      <c r="B37" s="4" t="s">
        <v>1005</v>
      </c>
      <c r="C37" s="4">
        <v>289</v>
      </c>
      <c r="D37" s="4" t="s">
        <v>91</v>
      </c>
      <c r="E37" s="4" t="s">
        <v>139</v>
      </c>
      <c r="F37" s="4" t="s">
        <v>1006</v>
      </c>
      <c r="G37" s="4" t="s">
        <v>1007</v>
      </c>
    </row>
    <row r="38" spans="1:7">
      <c r="A38" s="17" t="s">
        <v>108</v>
      </c>
      <c r="B38" s="4" t="s">
        <v>843</v>
      </c>
      <c r="C38" s="4">
        <v>8.3140000000000001</v>
      </c>
      <c r="D38" s="4" t="s">
        <v>653</v>
      </c>
      <c r="E38" s="4" t="s">
        <v>139</v>
      </c>
      <c r="F38" s="4" t="s">
        <v>1008</v>
      </c>
      <c r="G38" s="4" t="s">
        <v>996</v>
      </c>
    </row>
    <row r="39" spans="1:7">
      <c r="A39" s="17" t="s">
        <v>662</v>
      </c>
      <c r="B39" s="4" t="s">
        <v>1009</v>
      </c>
      <c r="C39" s="4">
        <v>28</v>
      </c>
      <c r="D39" s="4" t="s">
        <v>524</v>
      </c>
      <c r="E39" s="4" t="s">
        <v>139</v>
      </c>
      <c r="F39" s="4" t="s">
        <v>1010</v>
      </c>
      <c r="G39" s="4" t="s">
        <v>1011</v>
      </c>
    </row>
    <row r="40" spans="1:7">
      <c r="A40" s="17" t="s">
        <v>665</v>
      </c>
      <c r="B40" s="4" t="s">
        <v>1012</v>
      </c>
      <c r="C40" s="4">
        <v>70</v>
      </c>
      <c r="D40" s="4" t="s">
        <v>524</v>
      </c>
      <c r="E40" s="4" t="s">
        <v>139</v>
      </c>
      <c r="F40" s="4" t="s">
        <v>1013</v>
      </c>
      <c r="G40" s="4" t="s">
        <v>1014</v>
      </c>
    </row>
    <row r="41" spans="1:7">
      <c r="A41" s="17" t="s">
        <v>670</v>
      </c>
      <c r="B41" s="4" t="s">
        <v>961</v>
      </c>
      <c r="C41" s="4">
        <v>0.95</v>
      </c>
      <c r="D41" s="4" t="s">
        <v>787</v>
      </c>
      <c r="E41" s="4" t="s">
        <v>139</v>
      </c>
      <c r="F41" s="4" t="s">
        <v>1015</v>
      </c>
      <c r="G41" s="4" t="s">
        <v>941</v>
      </c>
    </row>
    <row r="42" spans="1:7">
      <c r="A42" s="53"/>
    </row>
    <row r="43" spans="1:7" ht="15">
      <c r="A43" s="59" t="s">
        <v>223</v>
      </c>
      <c r="B43" s="59"/>
      <c r="C43" s="59"/>
      <c r="D43" s="59"/>
      <c r="E43" s="59"/>
      <c r="F43" s="59"/>
      <c r="G43" s="59"/>
    </row>
    <row r="44" spans="1:7">
      <c r="A44" s="1"/>
      <c r="B44" s="1"/>
      <c r="C44" s="19"/>
      <c r="D44" s="1"/>
      <c r="E44" s="1"/>
      <c r="F44" s="1"/>
      <c r="G44" s="1"/>
    </row>
    <row r="45" spans="1:7">
      <c r="A45" s="1"/>
      <c r="B45" s="1"/>
      <c r="C45" s="19"/>
      <c r="D45" s="1"/>
      <c r="E45" s="1"/>
      <c r="F45" s="1"/>
      <c r="G45" s="1"/>
    </row>
    <row r="46" spans="1:7" ht="15">
      <c r="A46" s="59" t="s">
        <v>1039</v>
      </c>
      <c r="B46" s="59"/>
      <c r="C46" s="59"/>
      <c r="D46" s="59"/>
      <c r="E46" s="59"/>
      <c r="F46" s="59"/>
      <c r="G46" s="59"/>
    </row>
    <row r="47" spans="1:7" ht="15">
      <c r="A47" s="3" t="s">
        <v>72</v>
      </c>
      <c r="B47" s="3" t="s">
        <v>73</v>
      </c>
      <c r="C47" s="54" t="s">
        <v>74</v>
      </c>
      <c r="D47" s="3" t="s">
        <v>89</v>
      </c>
      <c r="E47" s="3" t="s">
        <v>123</v>
      </c>
      <c r="F47" s="3" t="s">
        <v>7</v>
      </c>
      <c r="G47" s="3" t="s">
        <v>75</v>
      </c>
    </row>
    <row r="48" spans="1:7">
      <c r="A48" s="4" t="s">
        <v>709</v>
      </c>
      <c r="B48" s="4" t="s">
        <v>707</v>
      </c>
      <c r="C48" s="4">
        <f>C40/C39</f>
        <v>2.5</v>
      </c>
      <c r="D48" s="4" t="s">
        <v>16</v>
      </c>
      <c r="E48" s="4" t="s">
        <v>1040</v>
      </c>
      <c r="F48" s="4" t="s">
        <v>1041</v>
      </c>
      <c r="G48" s="4" t="s">
        <v>1042</v>
      </c>
    </row>
    <row r="49" spans="1:7">
      <c r="A49" s="4" t="s">
        <v>714</v>
      </c>
      <c r="B49" s="4" t="s">
        <v>1043</v>
      </c>
      <c r="C49" s="12">
        <f>(LOG10(C40/C39))/(LOG10(C36))</f>
        <v>1.234997454142672</v>
      </c>
      <c r="D49" s="4" t="s">
        <v>222</v>
      </c>
      <c r="E49" s="4" t="s">
        <v>1040</v>
      </c>
      <c r="F49" s="4" t="s">
        <v>1044</v>
      </c>
      <c r="G49" s="4" t="s">
        <v>1042</v>
      </c>
    </row>
    <row r="50" spans="1:7">
      <c r="A50" s="4" t="s">
        <v>718</v>
      </c>
      <c r="B50" s="4" t="s">
        <v>1045</v>
      </c>
      <c r="C50" s="12">
        <f>ROUNDUP(C49, 0)</f>
        <v>2</v>
      </c>
      <c r="D50" s="4" t="s">
        <v>222</v>
      </c>
      <c r="E50" s="4" t="s">
        <v>1040</v>
      </c>
      <c r="F50" s="4" t="s">
        <v>1046</v>
      </c>
      <c r="G50" s="4" t="s">
        <v>1042</v>
      </c>
    </row>
    <row r="51" spans="1:7">
      <c r="A51" s="1"/>
      <c r="B51" s="1"/>
      <c r="C51" s="19"/>
      <c r="D51" s="1"/>
      <c r="E51" s="1"/>
      <c r="F51" s="1"/>
      <c r="G51" s="1"/>
    </row>
    <row r="53" spans="1:7" ht="15">
      <c r="A53" s="62" t="s">
        <v>231</v>
      </c>
      <c r="B53" s="63"/>
      <c r="C53" s="63"/>
      <c r="D53" s="63"/>
      <c r="E53" s="64"/>
    </row>
    <row r="54" spans="1:7" ht="15">
      <c r="A54" s="3" t="s">
        <v>171</v>
      </c>
      <c r="B54" s="3" t="s">
        <v>206</v>
      </c>
      <c r="C54" s="3" t="s">
        <v>103</v>
      </c>
      <c r="D54" s="3" t="s">
        <v>111</v>
      </c>
      <c r="E54" s="3" t="s">
        <v>173</v>
      </c>
    </row>
    <row r="55" spans="1:7">
      <c r="A55" s="4">
        <f>'Transition Accelerator Pipe'!B48</f>
        <v>8</v>
      </c>
      <c r="B55" s="12">
        <f>'Transition Accelerator Pipe'!D48</f>
        <v>2.045088566827697</v>
      </c>
      <c r="C55" s="12">
        <f>'Transition Accelerator Pipe'!C48</f>
        <v>203.2</v>
      </c>
      <c r="D55" s="9">
        <f>'Transition Accelerator Pipe'!F48</f>
        <v>1773250.7471204193</v>
      </c>
      <c r="E55" s="9">
        <f>'Transition Accelerator Pipe'!G48</f>
        <v>147889.11230984298</v>
      </c>
    </row>
    <row r="56" spans="1:7">
      <c r="A56" s="4">
        <f>'Transition Accelerator Pipe'!B49</f>
        <v>10</v>
      </c>
      <c r="B56" s="12">
        <f>'Transition Accelerator Pipe'!D49</f>
        <v>2.5563607085346218</v>
      </c>
      <c r="C56" s="12">
        <f>'Transition Accelerator Pipe'!C49</f>
        <v>254</v>
      </c>
      <c r="D56" s="9">
        <f>'Transition Accelerator Pipe'!F49</f>
        <v>3097741.5716512068</v>
      </c>
      <c r="E56" s="9">
        <f>'Transition Accelerator Pipe'!G49</f>
        <v>258351.64707571064</v>
      </c>
    </row>
    <row r="57" spans="1:7">
      <c r="A57" s="4">
        <f>'Transition Accelerator Pipe'!B50</f>
        <v>12</v>
      </c>
      <c r="B57" s="12">
        <f>'Transition Accelerator Pipe'!D50</f>
        <v>3.0676328502415453</v>
      </c>
      <c r="C57" s="12">
        <f>'Transition Accelerator Pipe'!C50</f>
        <v>304.79999999999995</v>
      </c>
      <c r="D57" s="9">
        <f>'Transition Accelerator Pipe'!F50</f>
        <v>4886504.4560108334</v>
      </c>
      <c r="E57" s="9">
        <f>'Transition Accelerator Pipe'!G50</f>
        <v>407534.47163130349</v>
      </c>
    </row>
    <row r="58" spans="1:7">
      <c r="A58" s="4">
        <f>'Transition Accelerator Pipe'!B51</f>
        <v>14</v>
      </c>
      <c r="B58" s="12">
        <f>'Transition Accelerator Pipe'!D51</f>
        <v>3.5789049919484701</v>
      </c>
      <c r="C58" s="12">
        <f>'Transition Accelerator Pipe'!C51</f>
        <v>355.59999999999997</v>
      </c>
      <c r="D58" s="9">
        <f>'Transition Accelerator Pipe'!F51</f>
        <v>7183982.6238426678</v>
      </c>
      <c r="E58" s="9">
        <f>'Transition Accelerator Pipe'!G51</f>
        <v>599144.15082847851</v>
      </c>
    </row>
    <row r="59" spans="1:7">
      <c r="A59" s="4">
        <f>'Transition Accelerator Pipe'!B52</f>
        <v>16</v>
      </c>
      <c r="B59" s="12">
        <f>'Transition Accelerator Pipe'!D52</f>
        <v>4.090177133655394</v>
      </c>
      <c r="C59" s="12">
        <f>'Transition Accelerator Pipe'!C52</f>
        <v>406.4</v>
      </c>
      <c r="D59" s="9">
        <f>'Transition Accelerator Pipe'!F52</f>
        <v>10031021.024263676</v>
      </c>
      <c r="E59" s="9">
        <f>'Transition Accelerator Pipe'!G52</f>
        <v>836587.15342359059</v>
      </c>
    </row>
    <row r="60" spans="1:7">
      <c r="A60" s="4">
        <f>'Transition Accelerator Pipe'!B53</f>
        <v>18</v>
      </c>
      <c r="B60" s="12">
        <f>'Transition Accelerator Pipe'!D53</f>
        <v>4.6014492753623193</v>
      </c>
      <c r="C60" s="12">
        <f>'Transition Accelerator Pipe'!C53</f>
        <v>457.2</v>
      </c>
      <c r="D60" s="9">
        <f>'Transition Accelerator Pipe'!F53</f>
        <v>13465622.860945662</v>
      </c>
      <c r="E60" s="9">
        <f>'Transition Accelerator Pipe'!G53</f>
        <v>1123032.9466028684</v>
      </c>
    </row>
    <row r="61" spans="1:7">
      <c r="A61" s="4">
        <f>'Transition Accelerator Pipe'!B54</f>
        <v>20</v>
      </c>
      <c r="B61" s="12">
        <f>'Transition Accelerator Pipe'!D54</f>
        <v>5.1127214170692437</v>
      </c>
      <c r="C61" s="12">
        <f>'Transition Accelerator Pipe'!C54</f>
        <v>508</v>
      </c>
      <c r="D61" s="9">
        <f>'Transition Accelerator Pipe'!F54</f>
        <v>17523472.573424354</v>
      </c>
      <c r="E61" s="9">
        <f>'Transition Accelerator Pipe'!G54</f>
        <v>1461457.6126235912</v>
      </c>
    </row>
    <row r="62" spans="1:7">
      <c r="A62" s="4">
        <f>'Transition Accelerator Pipe'!B55</f>
        <v>22</v>
      </c>
      <c r="B62" s="12">
        <f>'Transition Accelerator Pipe'!D55</f>
        <v>5.6239935587761671</v>
      </c>
      <c r="C62" s="12">
        <f>'Transition Accelerator Pipe'!C55</f>
        <v>558.79999999999995</v>
      </c>
      <c r="D62" s="9">
        <f>'Transition Accelerator Pipe'!F55</f>
        <v>22238315.433666032</v>
      </c>
      <c r="E62" s="9">
        <f>'Transition Accelerator Pipe'!G55</f>
        <v>1854675.507167747</v>
      </c>
    </row>
    <row r="63" spans="1:7">
      <c r="A63" s="4">
        <f>'Transition Accelerator Pipe'!B56</f>
        <v>24</v>
      </c>
      <c r="B63" s="12">
        <f>'Transition Accelerator Pipe'!D56</f>
        <v>6.1352657004830906</v>
      </c>
      <c r="C63" s="12">
        <f>'Transition Accelerator Pipe'!C56</f>
        <v>609.59999999999991</v>
      </c>
      <c r="D63" s="9">
        <f>'Transition Accelerator Pipe'!F56</f>
        <v>27642243.49714832</v>
      </c>
      <c r="E63" s="9">
        <f>'Transition Accelerator Pipe'!G56</f>
        <v>2305363.1076621697</v>
      </c>
    </row>
    <row r="64" spans="1:7">
      <c r="A64" s="4">
        <f>'Transition Accelerator Pipe'!B57</f>
        <v>26</v>
      </c>
      <c r="B64" s="12">
        <f>'Transition Accelerator Pipe'!D57</f>
        <v>6.6465378421900168</v>
      </c>
      <c r="C64" s="12">
        <f>'Transition Accelerator Pipe'!C57</f>
        <v>660.4</v>
      </c>
      <c r="D64" s="9">
        <f>'Transition Accelerator Pipe'!F57</f>
        <v>33765917.416143112</v>
      </c>
      <c r="E64" s="9">
        <f>'Transition Accelerator Pipe'!G57</f>
        <v>2816077.5125063355</v>
      </c>
    </row>
    <row r="65" spans="1:6">
      <c r="A65" s="4">
        <f>'Transition Accelerator Pipe'!B58</f>
        <v>28</v>
      </c>
      <c r="B65" s="12">
        <f>'Transition Accelerator Pipe'!D58</f>
        <v>7.1578099838969402</v>
      </c>
      <c r="C65" s="12">
        <f>'Transition Accelerator Pipe'!C58</f>
        <v>711.19999999999993</v>
      </c>
      <c r="D65" s="9">
        <f>'Transition Accelerator Pipe'!F58</f>
        <v>40638742.633963786</v>
      </c>
      <c r="E65" s="9">
        <f>'Transition Accelerator Pipe'!G58</f>
        <v>3389271.13567258</v>
      </c>
    </row>
    <row r="66" spans="1:6">
      <c r="A66" s="4">
        <f>'Transition Accelerator Pipe'!B59</f>
        <v>30</v>
      </c>
      <c r="B66" s="12">
        <f>'Transition Accelerator Pipe'!D59</f>
        <v>7.6690821256038646</v>
      </c>
      <c r="C66" s="12">
        <f>'Transition Accelerator Pipe'!C59</f>
        <v>762</v>
      </c>
      <c r="D66" s="9">
        <f>'Transition Accelerator Pipe'!F59</f>
        <v>48289012.117363468</v>
      </c>
      <c r="E66" s="9">
        <f>'Transition Accelerator Pipe'!G59</f>
        <v>4027303.6105881133</v>
      </c>
    </row>
    <row r="67" spans="1:6">
      <c r="A67" s="4">
        <f>'Transition Accelerator Pipe'!B60</f>
        <v>32</v>
      </c>
      <c r="B67" s="12">
        <f>'Transition Accelerator Pipe'!D60</f>
        <v>8.1803542673107881</v>
      </c>
      <c r="C67" s="12">
        <f>'Transition Accelerator Pipe'!C60</f>
        <v>812.8</v>
      </c>
      <c r="D67" s="9">
        <f>'Transition Accelerator Pipe'!F60</f>
        <v>56744023.907853439</v>
      </c>
      <c r="E67" s="9">
        <f>'Transition Accelerator Pipe'!G60</f>
        <v>4732451.5939149773</v>
      </c>
    </row>
    <row r="69" spans="1:6" ht="15">
      <c r="A69" s="59" t="s">
        <v>237</v>
      </c>
      <c r="B69" s="59"/>
      <c r="C69" s="59"/>
      <c r="D69" s="59"/>
      <c r="E69" s="59"/>
      <c r="F69" s="59"/>
    </row>
    <row r="70" spans="1:6" ht="15">
      <c r="A70" s="3" t="s">
        <v>230</v>
      </c>
      <c r="B70" s="3" t="s">
        <v>234</v>
      </c>
      <c r="C70" s="3" t="s">
        <v>235</v>
      </c>
      <c r="D70" s="3" t="s">
        <v>242</v>
      </c>
      <c r="E70" s="3" t="s">
        <v>243</v>
      </c>
      <c r="F70" s="3" t="s">
        <v>273</v>
      </c>
    </row>
    <row r="71" spans="1:6">
      <c r="A71" s="9">
        <f t="shared" ref="A71:A83" si="0">(E55)/($C$33*24*60*60)</f>
        <v>855.83977031159145</v>
      </c>
      <c r="B71" s="12">
        <f>0.0682*LOG10(A71)+0.628</f>
        <v>0.82798916604452399</v>
      </c>
      <c r="C71" s="9">
        <f t="shared" ref="C71:C83" si="1">($C$50*($C$34/($C$34-1))*($C$35/B71)*$C$37*A71*$C$38*((($C$40/$C$39)^(($C$34-1)/($C$34*$C$50)))-1))/1000</f>
        <v>2505.7567954513356</v>
      </c>
      <c r="D71" s="9">
        <f t="shared" ref="D71:D83" si="2">C71/$C$41</f>
        <v>2637.6387320540375</v>
      </c>
      <c r="E71" s="12">
        <f>(D71*24)/E55</f>
        <v>0.42804590940183529</v>
      </c>
      <c r="F71" s="12">
        <f>E71*(1000/1000)</f>
        <v>0.42804590940183529</v>
      </c>
    </row>
    <row r="72" spans="1:6">
      <c r="A72" s="9">
        <f t="shared" si="0"/>
        <v>1495.0905502066589</v>
      </c>
      <c r="B72" s="12">
        <f t="shared" ref="B72:B75" si="3">0.0682*LOG10(A72)+0.628</f>
        <v>0.84451232326239756</v>
      </c>
      <c r="C72" s="9">
        <f t="shared" si="1"/>
        <v>4291.7321775700602</v>
      </c>
      <c r="D72" s="9">
        <f t="shared" si="2"/>
        <v>4517.6128184948002</v>
      </c>
      <c r="E72" s="12">
        <f t="shared" ref="E72:E83" si="4">(D72*24)/E56</f>
        <v>0.41967105250194764</v>
      </c>
      <c r="F72" s="12">
        <f t="shared" ref="F72:F83" si="5">E72*(1000/1000)</f>
        <v>0.41967105250194764</v>
      </c>
    </row>
    <row r="73" spans="1:6">
      <c r="A73" s="9">
        <f t="shared" si="0"/>
        <v>2358.4170811996732</v>
      </c>
      <c r="B73" s="12">
        <f t="shared" si="3"/>
        <v>0.85801272571351761</v>
      </c>
      <c r="C73" s="9">
        <f t="shared" si="1"/>
        <v>6663.4322971545798</v>
      </c>
      <c r="D73" s="9">
        <f t="shared" si="2"/>
        <v>7014.1392601627158</v>
      </c>
      <c r="E73" s="12">
        <f t="shared" si="4"/>
        <v>0.41306773773042155</v>
      </c>
      <c r="F73" s="12">
        <f t="shared" si="5"/>
        <v>0.41306773773042155</v>
      </c>
    </row>
    <row r="74" spans="1:6">
      <c r="A74" s="9">
        <f t="shared" si="0"/>
        <v>3467.2693913685102</v>
      </c>
      <c r="B74" s="12">
        <f t="shared" si="3"/>
        <v>0.86942715334553711</v>
      </c>
      <c r="C74" s="9">
        <f t="shared" si="1"/>
        <v>9667.7518190844912</v>
      </c>
      <c r="D74" s="9">
        <f t="shared" si="2"/>
        <v>10176.580862194201</v>
      </c>
      <c r="E74" s="12">
        <f t="shared" si="4"/>
        <v>0.40764470512636392</v>
      </c>
      <c r="F74" s="12">
        <f t="shared" si="5"/>
        <v>0.40764470512636392</v>
      </c>
    </row>
    <row r="75" spans="1:6">
      <c r="A75" s="9">
        <f t="shared" si="0"/>
        <v>4841.3608415717054</v>
      </c>
      <c r="B75" s="12">
        <f t="shared" si="3"/>
        <v>0.8793147803052328</v>
      </c>
      <c r="C75" s="9">
        <f t="shared" si="1"/>
        <v>13347.323510727903</v>
      </c>
      <c r="D75" s="9">
        <f t="shared" si="2"/>
        <v>14049.814221818846</v>
      </c>
      <c r="E75" s="12">
        <f t="shared" si="4"/>
        <v>0.4030608645420109</v>
      </c>
      <c r="F75" s="12">
        <f t="shared" si="5"/>
        <v>0.4030608645420109</v>
      </c>
    </row>
    <row r="76" spans="1:6">
      <c r="A76" s="9">
        <f t="shared" si="0"/>
        <v>6499.0332558036371</v>
      </c>
      <c r="B76" s="12">
        <v>0.88</v>
      </c>
      <c r="C76" s="9">
        <f t="shared" si="1"/>
        <v>17903.469228991602</v>
      </c>
      <c r="D76" s="9">
        <f t="shared" si="2"/>
        <v>18845.757083149056</v>
      </c>
      <c r="E76" s="12">
        <f t="shared" si="4"/>
        <v>0.40274701767544929</v>
      </c>
      <c r="F76" s="12">
        <f t="shared" si="5"/>
        <v>0.40274701767544929</v>
      </c>
    </row>
    <row r="77" spans="1:6">
      <c r="A77" s="9">
        <f t="shared" si="0"/>
        <v>8457.5093323124493</v>
      </c>
      <c r="B77" s="12">
        <v>0.88</v>
      </c>
      <c r="C77" s="9">
        <f t="shared" si="1"/>
        <v>23298.658758169655</v>
      </c>
      <c r="D77" s="9">
        <f t="shared" si="2"/>
        <v>24524.90395596806</v>
      </c>
      <c r="E77" s="12">
        <f t="shared" si="4"/>
        <v>0.40274701767544929</v>
      </c>
      <c r="F77" s="12">
        <f t="shared" si="5"/>
        <v>0.40274701767544929</v>
      </c>
    </row>
    <row r="78" spans="1:6">
      <c r="A78" s="9">
        <f t="shared" si="0"/>
        <v>10733.075851665204</v>
      </c>
      <c r="B78" s="12">
        <v>0.88</v>
      </c>
      <c r="C78" s="9">
        <f t="shared" si="1"/>
        <v>29567.365741838999</v>
      </c>
      <c r="D78" s="9">
        <f t="shared" si="2"/>
        <v>31123.542886146315</v>
      </c>
      <c r="E78" s="12">
        <f t="shared" si="4"/>
        <v>0.40274701767544935</v>
      </c>
      <c r="F78" s="12">
        <f t="shared" si="5"/>
        <v>0.40274701767544935</v>
      </c>
    </row>
    <row r="79" spans="1:6">
      <c r="A79" s="9">
        <f t="shared" si="0"/>
        <v>13341.221687859779</v>
      </c>
      <c r="B79" s="12">
        <v>0.88</v>
      </c>
      <c r="C79" s="9">
        <f t="shared" si="1"/>
        <v>36752.258769018641</v>
      </c>
      <c r="D79" s="9">
        <f t="shared" si="2"/>
        <v>38686.58817791436</v>
      </c>
      <c r="E79" s="12">
        <f t="shared" si="4"/>
        <v>0.40274701767544935</v>
      </c>
      <c r="F79" s="12">
        <f t="shared" si="5"/>
        <v>0.40274701767544935</v>
      </c>
    </row>
    <row r="80" spans="1:6">
      <c r="A80" s="9">
        <f t="shared" si="0"/>
        <v>16296.744864041295</v>
      </c>
      <c r="B80" s="12">
        <v>0.88</v>
      </c>
      <c r="C80" s="9">
        <f t="shared" si="1"/>
        <v>44894.103279982628</v>
      </c>
      <c r="D80" s="9">
        <f t="shared" si="2"/>
        <v>47256.950821034348</v>
      </c>
      <c r="E80" s="12">
        <f t="shared" si="4"/>
        <v>0.40274701767544929</v>
      </c>
      <c r="F80" s="12">
        <f t="shared" si="5"/>
        <v>0.40274701767544929</v>
      </c>
    </row>
    <row r="81" spans="1:8">
      <c r="A81" s="9">
        <f t="shared" si="0"/>
        <v>19613.837590697804</v>
      </c>
      <c r="B81" s="12">
        <v>0.88</v>
      </c>
      <c r="C81" s="9">
        <f t="shared" si="1"/>
        <v>54031.995828597253</v>
      </c>
      <c r="D81" s="9">
        <f t="shared" si="2"/>
        <v>56875.785082733957</v>
      </c>
      <c r="E81" s="12">
        <f t="shared" si="4"/>
        <v>0.4027470176754494</v>
      </c>
      <c r="F81" s="12">
        <f t="shared" si="5"/>
        <v>0.4027470176754494</v>
      </c>
    </row>
    <row r="82" spans="1:8">
      <c r="A82" s="9">
        <f t="shared" si="0"/>
        <v>23306.155153866399</v>
      </c>
      <c r="B82" s="12">
        <v>0.88</v>
      </c>
      <c r="C82" s="9">
        <f t="shared" si="1"/>
        <v>64203.553854834798</v>
      </c>
      <c r="D82" s="9">
        <f t="shared" si="2"/>
        <v>67582.688268247162</v>
      </c>
      <c r="E82" s="12">
        <f t="shared" si="4"/>
        <v>0.40274701767544935</v>
      </c>
      <c r="F82" s="12">
        <f t="shared" si="5"/>
        <v>0.40274701767544935</v>
      </c>
    </row>
    <row r="83" spans="1:8">
      <c r="A83" s="9">
        <f t="shared" si="0"/>
        <v>27386.872649970937</v>
      </c>
      <c r="B83" s="12">
        <v>0.88</v>
      </c>
      <c r="C83" s="9">
        <f t="shared" si="1"/>
        <v>75445.071977314568</v>
      </c>
      <c r="D83" s="9">
        <f t="shared" si="2"/>
        <v>79415.865239278501</v>
      </c>
      <c r="E83" s="12">
        <f t="shared" si="4"/>
        <v>0.4027470176754494</v>
      </c>
      <c r="F83" s="12">
        <f t="shared" si="5"/>
        <v>0.4027470176754494</v>
      </c>
    </row>
    <row r="84" spans="1:8">
      <c r="A84" s="28"/>
      <c r="B84" s="19"/>
      <c r="C84" s="28"/>
      <c r="D84" s="28"/>
      <c r="E84" s="19"/>
    </row>
    <row r="86" spans="1:8" ht="15">
      <c r="A86" s="62" t="s">
        <v>245</v>
      </c>
      <c r="B86" s="63"/>
      <c r="C86" s="63"/>
      <c r="D86" s="63"/>
      <c r="E86" s="63"/>
      <c r="F86" s="63"/>
      <c r="G86" s="63"/>
      <c r="H86" s="64"/>
    </row>
    <row r="87" spans="1:8" ht="15">
      <c r="A87" s="3" t="s">
        <v>171</v>
      </c>
      <c r="B87" s="3" t="s">
        <v>173</v>
      </c>
      <c r="C87" s="3" t="s">
        <v>242</v>
      </c>
      <c r="D87" s="3" t="s">
        <v>246</v>
      </c>
      <c r="E87" s="3" t="s">
        <v>247</v>
      </c>
      <c r="F87" s="3" t="s">
        <v>259</v>
      </c>
      <c r="G87" s="3" t="s">
        <v>260</v>
      </c>
      <c r="H87" s="3" t="s">
        <v>177</v>
      </c>
    </row>
    <row r="88" spans="1:8">
      <c r="A88" s="4">
        <f>'Transition Accelerator Pipe'!B48</f>
        <v>8</v>
      </c>
      <c r="B88" s="9">
        <f>E55</f>
        <v>147889.11230984298</v>
      </c>
      <c r="C88" s="9">
        <f>D71</f>
        <v>2637.6387320540375</v>
      </c>
      <c r="D88" s="26">
        <f t="shared" ref="D88:D100" si="6">3083.35*(C88^$B$22)</f>
        <v>2190815.4132671542</v>
      </c>
      <c r="E88" s="27">
        <f t="shared" ref="E88:E100" si="7">D88*$B$23</f>
        <v>4381630.8265343085</v>
      </c>
      <c r="F88" s="27">
        <f>E88+(E88*'Assumptions and Parameters Pipe'!$C$11)</f>
        <v>6134283.1571480315</v>
      </c>
      <c r="G88" s="13">
        <f>F88/'Transition Accelerator Pipe'!$C$39</f>
        <v>24537.32904435922</v>
      </c>
      <c r="H88" s="13">
        <f>G88*('Assumptions and Parameters Pipe'!$C$9/'Assumptions and Parameters Pipe'!$C$8)</f>
        <v>24941.137944411599</v>
      </c>
    </row>
    <row r="89" spans="1:8">
      <c r="A89" s="4">
        <f>'Transition Accelerator Pipe'!B49</f>
        <v>10</v>
      </c>
      <c r="B89" s="9">
        <f t="shared" ref="B89:B100" si="8">E56</f>
        <v>258351.64707571064</v>
      </c>
      <c r="C89" s="9">
        <f t="shared" ref="C89:C100" si="9">D72</f>
        <v>4517.6128184948002</v>
      </c>
      <c r="D89" s="26">
        <f t="shared" si="6"/>
        <v>3430753.2458549496</v>
      </c>
      <c r="E89" s="27">
        <f t="shared" si="7"/>
        <v>6861506.4917098992</v>
      </c>
      <c r="F89" s="27">
        <f>E89+(E89*'Assumptions and Parameters Pipe'!$C$11)</f>
        <v>9606109.0883938596</v>
      </c>
      <c r="G89" s="13">
        <f>F89/'Transition Accelerator Pipe'!$C$39</f>
        <v>38424.74393495651</v>
      </c>
      <c r="H89" s="13">
        <f>G89*('Assumptions and Parameters Pipe'!$C$9/'Assumptions and Parameters Pipe'!$C$8)</f>
        <v>39057.096932918044</v>
      </c>
    </row>
    <row r="90" spans="1:8">
      <c r="A90" s="4">
        <f>'Transition Accelerator Pipe'!B50</f>
        <v>12</v>
      </c>
      <c r="B90" s="9">
        <f t="shared" si="8"/>
        <v>407534.47163130349</v>
      </c>
      <c r="C90" s="9">
        <f t="shared" si="9"/>
        <v>7014.1392601627158</v>
      </c>
      <c r="D90" s="26">
        <f t="shared" si="6"/>
        <v>4950424.880780072</v>
      </c>
      <c r="E90" s="27">
        <f t="shared" si="7"/>
        <v>9900849.7615601439</v>
      </c>
      <c r="F90" s="27">
        <f>E90+(E90*'Assumptions and Parameters Pipe'!$C$11)</f>
        <v>13861189.666184202</v>
      </c>
      <c r="G90" s="13">
        <f>F90/'Transition Accelerator Pipe'!$C$39</f>
        <v>55445.202491037511</v>
      </c>
      <c r="H90" s="13">
        <f>G90*('Assumptions and Parameters Pipe'!$C$9/'Assumptions and Parameters Pipe'!$C$8)</f>
        <v>56357.659840841618</v>
      </c>
    </row>
    <row r="91" spans="1:8">
      <c r="A91" s="4">
        <f>'Transition Accelerator Pipe'!B51</f>
        <v>14</v>
      </c>
      <c r="B91" s="9">
        <f t="shared" si="8"/>
        <v>599144.15082847851</v>
      </c>
      <c r="C91" s="9">
        <f t="shared" si="9"/>
        <v>10176.580862194201</v>
      </c>
      <c r="D91" s="26">
        <f t="shared" si="6"/>
        <v>6750858.4051875668</v>
      </c>
      <c r="E91" s="27">
        <f t="shared" si="7"/>
        <v>13501716.810375134</v>
      </c>
      <c r="F91" s="27">
        <f>E91+(E91*'Assumptions and Parameters Pipe'!$C$11)</f>
        <v>18902403.534525186</v>
      </c>
      <c r="G91" s="13">
        <f>F91/'Transition Accelerator Pipe'!$C$39</f>
        <v>75610.219380799041</v>
      </c>
      <c r="H91" s="13">
        <f>G91*('Assumptions and Parameters Pipe'!$C$9/'Assumptions and Parameters Pipe'!$C$8)</f>
        <v>76854.530832370758</v>
      </c>
    </row>
    <row r="92" spans="1:8">
      <c r="A92" s="4">
        <f>'Transition Accelerator Pipe'!B52</f>
        <v>16</v>
      </c>
      <c r="B92" s="9">
        <f t="shared" si="8"/>
        <v>836587.15342359059</v>
      </c>
      <c r="C92" s="9">
        <f t="shared" si="9"/>
        <v>14049.814221818846</v>
      </c>
      <c r="D92" s="26">
        <f t="shared" si="6"/>
        <v>8832959.8299686871</v>
      </c>
      <c r="E92" s="27">
        <f t="shared" si="7"/>
        <v>17665919.659937374</v>
      </c>
      <c r="F92" s="27">
        <f>E92+(E92*'Assumptions and Parameters Pipe'!$C$11)</f>
        <v>24732287.523912326</v>
      </c>
      <c r="G92" s="13">
        <f>F92/'Transition Accelerator Pipe'!$C$39</f>
        <v>98929.942007450809</v>
      </c>
      <c r="H92" s="13">
        <f>G92*('Assumptions and Parameters Pipe'!$C$9/'Assumptions and Parameters Pipe'!$C$8)</f>
        <v>100558.02430573413</v>
      </c>
    </row>
    <row r="93" spans="1:8">
      <c r="A93" s="4">
        <f>'Transition Accelerator Pipe'!B53</f>
        <v>18</v>
      </c>
      <c r="B93" s="9">
        <f t="shared" si="8"/>
        <v>1123032.9466028684</v>
      </c>
      <c r="C93" s="9">
        <f t="shared" si="9"/>
        <v>18845.757083149056</v>
      </c>
      <c r="D93" s="26">
        <f t="shared" si="6"/>
        <v>11282708.084913181</v>
      </c>
      <c r="E93" s="27">
        <f t="shared" si="7"/>
        <v>22565416.169826362</v>
      </c>
      <c r="F93" s="27">
        <f>E93+(E93*'Assumptions and Parameters Pipe'!$C$11)</f>
        <v>31591582.637756906</v>
      </c>
      <c r="G93" s="13">
        <f>F93/'Transition Accelerator Pipe'!$C$39</f>
        <v>126367.34209300873</v>
      </c>
      <c r="H93" s="13">
        <f>G93*('Assumptions and Parameters Pipe'!$C$9/'Assumptions and Parameters Pipe'!$C$8)</f>
        <v>128446.95953306793</v>
      </c>
    </row>
    <row r="94" spans="1:8">
      <c r="A94" s="4">
        <f>'Transition Accelerator Pipe'!B54</f>
        <v>20</v>
      </c>
      <c r="B94" s="9">
        <f t="shared" si="8"/>
        <v>1461457.6126235912</v>
      </c>
      <c r="C94" s="9">
        <f t="shared" si="9"/>
        <v>24524.90395596806</v>
      </c>
      <c r="D94" s="26">
        <f t="shared" si="6"/>
        <v>14052724.199776784</v>
      </c>
      <c r="E94" s="27">
        <f t="shared" si="7"/>
        <v>28105448.399553567</v>
      </c>
      <c r="F94" s="27">
        <f>E94+(E94*'Assumptions and Parameters Pipe'!$C$11)</f>
        <v>39347627.759374991</v>
      </c>
      <c r="G94" s="13">
        <f>F94/'Transition Accelerator Pipe'!$C$39</f>
        <v>157391.77092301415</v>
      </c>
      <c r="H94" s="13">
        <f>G94*('Assumptions and Parameters Pipe'!$C$9/'Assumptions and Parameters Pipe'!$C$8)</f>
        <v>159981.9549556291</v>
      </c>
    </row>
    <row r="95" spans="1:8">
      <c r="A95" s="4">
        <f>'Transition Accelerator Pipe'!B55</f>
        <v>22</v>
      </c>
      <c r="B95" s="9">
        <f t="shared" si="8"/>
        <v>1854675.507167747</v>
      </c>
      <c r="C95" s="9">
        <f t="shared" si="9"/>
        <v>31123.542886146315</v>
      </c>
      <c r="D95" s="26">
        <f t="shared" si="6"/>
        <v>17140067.603808187</v>
      </c>
      <c r="E95" s="27">
        <f t="shared" si="7"/>
        <v>34280135.207616374</v>
      </c>
      <c r="F95" s="27">
        <f>E95+(E95*'Assumptions and Parameters Pipe'!$C$11)</f>
        <v>47992189.290662922</v>
      </c>
      <c r="G95" s="13">
        <f>F95/'Transition Accelerator Pipe'!$C$39</f>
        <v>191970.29384141797</v>
      </c>
      <c r="H95" s="13">
        <f>G95*('Assumptions and Parameters Pipe'!$C$9/'Assumptions and Parameters Pipe'!$C$8)</f>
        <v>195129.53391431642</v>
      </c>
    </row>
    <row r="96" spans="1:8">
      <c r="A96" s="4">
        <f>'Transition Accelerator Pipe'!B56</f>
        <v>24</v>
      </c>
      <c r="B96" s="9">
        <f t="shared" si="8"/>
        <v>2305363.1076621697</v>
      </c>
      <c r="C96" s="9">
        <f t="shared" si="9"/>
        <v>38686.58817791436</v>
      </c>
      <c r="D96" s="26">
        <f t="shared" si="6"/>
        <v>20547284.974338729</v>
      </c>
      <c r="E96" s="27">
        <f t="shared" si="7"/>
        <v>41094569.948677458</v>
      </c>
      <c r="F96" s="27">
        <f>E96+(E96*'Assumptions and Parameters Pipe'!$C$11)</f>
        <v>57532397.928148441</v>
      </c>
      <c r="G96" s="13">
        <f>F96/'Transition Accelerator Pipe'!$C$39</f>
        <v>230131.43386265144</v>
      </c>
      <c r="H96" s="13">
        <f>G96*('Assumptions and Parameters Pipe'!$C$9/'Assumptions and Parameters Pipe'!$C$8)</f>
        <v>233918.6888245731</v>
      </c>
    </row>
    <row r="97" spans="1:8">
      <c r="A97" s="4">
        <f>'Transition Accelerator Pipe'!B57</f>
        <v>26</v>
      </c>
      <c r="B97" s="9">
        <f t="shared" si="8"/>
        <v>2816077.5125063355</v>
      </c>
      <c r="C97" s="9">
        <f t="shared" si="9"/>
        <v>47256.950821034348</v>
      </c>
      <c r="D97" s="26">
        <f t="shared" si="6"/>
        <v>24276718.539400697</v>
      </c>
      <c r="E97" s="27">
        <f t="shared" si="7"/>
        <v>48553437.078801394</v>
      </c>
      <c r="F97" s="27">
        <f>E97+(E97*'Assumptions and Parameters Pipe'!$C$11)</f>
        <v>67974811.910321951</v>
      </c>
      <c r="G97" s="13">
        <f>F97/'Transition Accelerator Pipe'!$C$39</f>
        <v>271901.42415066669</v>
      </c>
      <c r="H97" s="13">
        <f>G97*('Assumptions and Parameters Pipe'!$C$9/'Assumptions and Parameters Pipe'!$C$8)</f>
        <v>276376.08456747339</v>
      </c>
    </row>
    <row r="98" spans="1:8">
      <c r="A98" s="4">
        <f>'Transition Accelerator Pipe'!B58</f>
        <v>28</v>
      </c>
      <c r="B98" s="9">
        <f t="shared" si="8"/>
        <v>3389271.13567258</v>
      </c>
      <c r="C98" s="9">
        <f t="shared" si="9"/>
        <v>56875.785082733957</v>
      </c>
      <c r="D98" s="26">
        <f t="shared" si="6"/>
        <v>28330537.692197654</v>
      </c>
      <c r="E98" s="27">
        <f t="shared" si="7"/>
        <v>56661075.384395309</v>
      </c>
      <c r="F98" s="27">
        <f>E98+(E98*'Assumptions and Parameters Pipe'!$C$11)</f>
        <v>79325505.53815344</v>
      </c>
      <c r="G98" s="13">
        <f>F98/'Transition Accelerator Pipe'!$C$39</f>
        <v>317304.56210383889</v>
      </c>
      <c r="H98" s="13">
        <f>G98*('Assumptions and Parameters Pipe'!$C$9/'Assumptions and Parameters Pipe'!$C$8)</f>
        <v>322526.41840177233</v>
      </c>
    </row>
    <row r="99" spans="1:8">
      <c r="A99" s="4">
        <f>'Transition Accelerator Pipe'!B59</f>
        <v>30</v>
      </c>
      <c r="B99" s="9">
        <f t="shared" si="8"/>
        <v>4027303.6105881133</v>
      </c>
      <c r="C99" s="9">
        <f t="shared" si="9"/>
        <v>67582.688268247162</v>
      </c>
      <c r="D99" s="26">
        <f t="shared" si="6"/>
        <v>32710763.711447619</v>
      </c>
      <c r="E99" s="27">
        <f t="shared" si="7"/>
        <v>65421527.422895238</v>
      </c>
      <c r="F99" s="27">
        <f>E99+(E99*'Assumptions and Parameters Pipe'!$C$11)</f>
        <v>91590138.392053336</v>
      </c>
      <c r="G99" s="13">
        <f>F99/'Transition Accelerator Pipe'!$C$39</f>
        <v>366363.48622502579</v>
      </c>
      <c r="H99" s="13">
        <f>G99*('Assumptions and Parameters Pipe'!$C$9/'Assumptions and Parameters Pipe'!$C$8)</f>
        <v>372392.70139039407</v>
      </c>
    </row>
    <row r="100" spans="1:8">
      <c r="A100" s="4">
        <f>'Transition Accelerator Pipe'!B60</f>
        <v>32</v>
      </c>
      <c r="B100" s="9">
        <f t="shared" si="8"/>
        <v>4732451.5939149773</v>
      </c>
      <c r="C100" s="9">
        <f t="shared" si="9"/>
        <v>79415.865239278501</v>
      </c>
      <c r="D100" s="26">
        <f t="shared" si="6"/>
        <v>37419289.468387894</v>
      </c>
      <c r="E100" s="27">
        <f t="shared" si="7"/>
        <v>74838578.936775789</v>
      </c>
      <c r="F100" s="27">
        <f>E100+(E100*'Assumptions and Parameters Pipe'!$C$11)</f>
        <v>104774010.51148611</v>
      </c>
      <c r="G100" s="13">
        <f>F100/'Transition Accelerator Pipe'!$C$39</f>
        <v>419099.39684178919</v>
      </c>
      <c r="H100" s="13">
        <f>G100*('Assumptions and Parameters Pipe'!$C$9/'Assumptions and Parameters Pipe'!$C$8)</f>
        <v>425996.48275302869</v>
      </c>
    </row>
    <row r="101" spans="1:8">
      <c r="E101" s="25"/>
    </row>
    <row r="103" spans="1:8" ht="15">
      <c r="A103" s="59" t="s">
        <v>248</v>
      </c>
      <c r="B103" s="59"/>
      <c r="C103" s="59"/>
      <c r="D103" s="59"/>
      <c r="E103" s="59"/>
      <c r="F103" s="59"/>
      <c r="G103" s="59"/>
    </row>
    <row r="104" spans="1:8" ht="15">
      <c r="A104" s="3" t="s">
        <v>171</v>
      </c>
      <c r="B104" s="3" t="s">
        <v>173</v>
      </c>
      <c r="C104" s="3" t="s">
        <v>179</v>
      </c>
      <c r="D104" s="3" t="s">
        <v>242</v>
      </c>
      <c r="E104" s="3" t="s">
        <v>251</v>
      </c>
      <c r="F104" s="3" t="s">
        <v>252</v>
      </c>
      <c r="G104" s="3" t="s">
        <v>271</v>
      </c>
    </row>
    <row r="105" spans="1:8">
      <c r="A105" s="4">
        <f t="shared" ref="A105:A117" si="10">A55</f>
        <v>8</v>
      </c>
      <c r="B105" s="9">
        <f t="shared" ref="B105:B117" si="11">E55</f>
        <v>147889.11230984298</v>
      </c>
      <c r="C105" s="9">
        <f>B105/(1000/365)</f>
        <v>53979.525993092691</v>
      </c>
      <c r="D105" s="9">
        <f t="shared" ref="D105:D117" si="12">D71</f>
        <v>2637.6387320540375</v>
      </c>
      <c r="E105" s="11">
        <f t="shared" ref="E105:E117" si="13">D105*24*365*$B$25*$B$21</f>
        <v>2541628.6822072705</v>
      </c>
      <c r="F105" s="13">
        <f>E105*('Assumptions and Parameters Pipe'!$C$9/'Assumptions and Parameters Pipe'!$C$8)</f>
        <v>2583456.0661351732</v>
      </c>
      <c r="G105" s="13">
        <f>(F105/C105)/'Transition Accelerator Pipe'!$C$39</f>
        <v>0.19144123248600339</v>
      </c>
    </row>
    <row r="106" spans="1:8">
      <c r="A106" s="4">
        <f t="shared" si="10"/>
        <v>10</v>
      </c>
      <c r="B106" s="9">
        <f t="shared" si="11"/>
        <v>258351.64707571064</v>
      </c>
      <c r="C106" s="9">
        <f t="shared" ref="C106:C117" si="14">B106/(1000/365)</f>
        <v>94298.351182634389</v>
      </c>
      <c r="D106" s="9">
        <f t="shared" si="12"/>
        <v>4517.6128184948002</v>
      </c>
      <c r="E106" s="11">
        <f t="shared" si="13"/>
        <v>4353171.7119015902</v>
      </c>
      <c r="F106" s="13">
        <f>E106*('Assumptions and Parameters Pipe'!$C$9/'Assumptions and Parameters Pipe'!$C$8)</f>
        <v>4424811.5174217522</v>
      </c>
      <c r="G106" s="13">
        <f>(F106/C106)/'Transition Accelerator Pipe'!$C$39</f>
        <v>0.18769562274743848</v>
      </c>
    </row>
    <row r="107" spans="1:8">
      <c r="A107" s="4">
        <f t="shared" si="10"/>
        <v>12</v>
      </c>
      <c r="B107" s="9">
        <f t="shared" si="11"/>
        <v>407534.47163130349</v>
      </c>
      <c r="C107" s="9">
        <f t="shared" si="14"/>
        <v>148750.08214542578</v>
      </c>
      <c r="D107" s="9">
        <f t="shared" si="12"/>
        <v>7014.1392601627158</v>
      </c>
      <c r="E107" s="11">
        <f t="shared" si="13"/>
        <v>6758824.5910927933</v>
      </c>
      <c r="F107" s="13">
        <f>E107*('Assumptions and Parameters Pipe'!$C$9/'Assumptions and Parameters Pipe'!$C$8)</f>
        <v>6870054.0374128101</v>
      </c>
      <c r="G107" s="13">
        <f>(F107/C107)/'Transition Accelerator Pipe'!$C$39</f>
        <v>0.18474232570479049</v>
      </c>
    </row>
    <row r="108" spans="1:8">
      <c r="A108" s="4">
        <f t="shared" si="10"/>
        <v>14</v>
      </c>
      <c r="B108" s="9">
        <f t="shared" si="11"/>
        <v>599144.15082847851</v>
      </c>
      <c r="C108" s="9">
        <f t="shared" si="14"/>
        <v>218687.61505239466</v>
      </c>
      <c r="D108" s="9">
        <f t="shared" si="12"/>
        <v>10176.580862194201</v>
      </c>
      <c r="E108" s="11">
        <f t="shared" si="13"/>
        <v>9806153.3188103326</v>
      </c>
      <c r="F108" s="13">
        <f>E108*('Assumptions and Parameters Pipe'!$C$9/'Assumptions and Parameters Pipe'!$C$8)</f>
        <v>9967532.4150540661</v>
      </c>
      <c r="G108" s="13">
        <f>(F108/C108)/'Transition Accelerator Pipe'!$C$39</f>
        <v>0.18231690351822327</v>
      </c>
    </row>
    <row r="109" spans="1:8">
      <c r="A109" s="4">
        <f t="shared" si="10"/>
        <v>16</v>
      </c>
      <c r="B109" s="9">
        <f t="shared" si="11"/>
        <v>836587.15342359059</v>
      </c>
      <c r="C109" s="9">
        <f t="shared" si="14"/>
        <v>305354.31099961058</v>
      </c>
      <c r="D109" s="9">
        <f t="shared" si="12"/>
        <v>14049.814221818846</v>
      </c>
      <c r="E109" s="11">
        <f t="shared" si="13"/>
        <v>13538400.984144641</v>
      </c>
      <c r="F109" s="13">
        <f>E109*('Assumptions and Parameters Pipe'!$C$9/'Assumptions and Parameters Pipe'!$C$8)</f>
        <v>13761201.387562318</v>
      </c>
      <c r="G109" s="13">
        <f>(F109/C109)/'Transition Accelerator Pipe'!$C$39</f>
        <v>0.18026680545230736</v>
      </c>
    </row>
    <row r="110" spans="1:8">
      <c r="A110" s="4">
        <f t="shared" si="10"/>
        <v>18</v>
      </c>
      <c r="B110" s="9">
        <f t="shared" si="11"/>
        <v>1123032.9466028684</v>
      </c>
      <c r="C110" s="9">
        <f t="shared" si="14"/>
        <v>409907.02551004698</v>
      </c>
      <c r="D110" s="9">
        <f t="shared" si="12"/>
        <v>18845.757083149056</v>
      </c>
      <c r="E110" s="11">
        <f t="shared" si="13"/>
        <v>18159771.52532243</v>
      </c>
      <c r="F110" s="13">
        <f>E110*('Assumptions and Parameters Pipe'!$C$9/'Assumptions and Parameters Pipe'!$C$8)</f>
        <v>18458625.461363554</v>
      </c>
      <c r="G110" s="13">
        <f>(F110/C110)/'Transition Accelerator Pipe'!$C$39</f>
        <v>0.18012643912797924</v>
      </c>
    </row>
    <row r="111" spans="1:8">
      <c r="A111" s="4">
        <f t="shared" si="10"/>
        <v>20</v>
      </c>
      <c r="B111" s="9">
        <f t="shared" si="11"/>
        <v>1461457.6126235912</v>
      </c>
      <c r="C111" s="9">
        <f t="shared" si="14"/>
        <v>533432.02860761085</v>
      </c>
      <c r="D111" s="9">
        <f t="shared" si="12"/>
        <v>24524.90395596806</v>
      </c>
      <c r="E111" s="11">
        <f t="shared" si="13"/>
        <v>23632197.451970819</v>
      </c>
      <c r="F111" s="13">
        <f>E111*('Assumptions and Parameters Pipe'!$C$9/'Assumptions and Parameters Pipe'!$C$8)</f>
        <v>24021110.672380794</v>
      </c>
      <c r="G111" s="13">
        <f>(F111/C111)/'Transition Accelerator Pipe'!$C$39</f>
        <v>0.18012643912797921</v>
      </c>
    </row>
    <row r="112" spans="1:8">
      <c r="A112" s="4">
        <f t="shared" si="10"/>
        <v>22</v>
      </c>
      <c r="B112" s="9">
        <f t="shared" si="11"/>
        <v>1854675.507167747</v>
      </c>
      <c r="C112" s="9">
        <f t="shared" si="14"/>
        <v>676956.56011622772</v>
      </c>
      <c r="D112" s="9">
        <f t="shared" si="12"/>
        <v>31123.542886146315</v>
      </c>
      <c r="E112" s="11">
        <f t="shared" si="13"/>
        <v>29990645.925090592</v>
      </c>
      <c r="F112" s="13">
        <f>E112*('Assumptions and Parameters Pipe'!$C$9/'Assumptions and Parameters Pipe'!$C$8)</f>
        <v>30484199.633441553</v>
      </c>
      <c r="G112" s="13">
        <f>(F112/C112)/'Transition Accelerator Pipe'!$C$39</f>
        <v>0.18012643912797927</v>
      </c>
    </row>
    <row r="113" spans="1:10">
      <c r="A113" s="4">
        <f t="shared" si="10"/>
        <v>24</v>
      </c>
      <c r="B113" s="9">
        <f t="shared" si="11"/>
        <v>2305363.1076621697</v>
      </c>
      <c r="C113" s="9">
        <f t="shared" si="14"/>
        <v>841457.534296692</v>
      </c>
      <c r="D113" s="9">
        <f t="shared" si="12"/>
        <v>38686.58817791436</v>
      </c>
      <c r="E113" s="11">
        <f t="shared" si="13"/>
        <v>37278396.368238278</v>
      </c>
      <c r="F113" s="13">
        <f>E113*('Assumptions and Parameters Pipe'!$C$9/'Assumptions and Parameters Pipe'!$C$8)</f>
        <v>37891884.01418218</v>
      </c>
      <c r="G113" s="13">
        <f>(F113/C113)/'Transition Accelerator Pipe'!$C$39</f>
        <v>0.18012643912797924</v>
      </c>
    </row>
    <row r="114" spans="1:10">
      <c r="A114" s="4">
        <f t="shared" si="10"/>
        <v>26</v>
      </c>
      <c r="B114" s="9">
        <f t="shared" si="11"/>
        <v>2816077.5125063355</v>
      </c>
      <c r="C114" s="9">
        <f t="shared" si="14"/>
        <v>1027868.2920648125</v>
      </c>
      <c r="D114" s="9">
        <f t="shared" si="12"/>
        <v>47256.950821034348</v>
      </c>
      <c r="E114" s="11">
        <f t="shared" si="13"/>
        <v>45536797.811148703</v>
      </c>
      <c r="F114" s="13">
        <f>E114*('Assumptions and Parameters Pipe'!$C$9/'Assumptions and Parameters Pipe'!$C$8)</f>
        <v>46286193.32207758</v>
      </c>
      <c r="G114" s="13">
        <f>(F114/C114)/'Transition Accelerator Pipe'!$C$39</f>
        <v>0.18012643912797927</v>
      </c>
    </row>
    <row r="115" spans="1:10">
      <c r="A115" s="4">
        <f t="shared" si="10"/>
        <v>28</v>
      </c>
      <c r="B115" s="9">
        <f t="shared" si="11"/>
        <v>3389271.13567258</v>
      </c>
      <c r="C115" s="9">
        <f t="shared" si="14"/>
        <v>1237083.9645204917</v>
      </c>
      <c r="D115" s="9">
        <f t="shared" si="12"/>
        <v>56875.785082733957</v>
      </c>
      <c r="E115" s="11">
        <f t="shared" si="13"/>
        <v>54805506.505722441</v>
      </c>
      <c r="F115" s="13">
        <f>E115*('Assumptions and Parameters Pipe'!$C$9/'Assumptions and Parameters Pipe'!$C$8)</f>
        <v>55707436.428856306</v>
      </c>
      <c r="G115" s="13">
        <f>(F115/C115)/'Transition Accelerator Pipe'!$C$39</f>
        <v>0.18012643912797929</v>
      </c>
    </row>
    <row r="116" spans="1:10">
      <c r="A116" s="4">
        <f t="shared" si="10"/>
        <v>30</v>
      </c>
      <c r="B116" s="9">
        <f t="shared" si="11"/>
        <v>4027303.6105881133</v>
      </c>
      <c r="C116" s="9">
        <f t="shared" si="14"/>
        <v>1469965.8178646613</v>
      </c>
      <c r="D116" s="9">
        <f t="shared" si="12"/>
        <v>67582.688268247162</v>
      </c>
      <c r="E116" s="11">
        <f t="shared" si="13"/>
        <v>65122678.415282957</v>
      </c>
      <c r="F116" s="13">
        <f>E116*('Assumptions and Parameters Pipe'!$C$9/'Assumptions and Parameters Pipe'!$C$8)</f>
        <v>66194397.22753834</v>
      </c>
      <c r="G116" s="13">
        <f>(F116/C116)/'Transition Accelerator Pipe'!$C$39</f>
        <v>0.18012643912797927</v>
      </c>
    </row>
    <row r="117" spans="1:10">
      <c r="A117" s="4">
        <f t="shared" si="10"/>
        <v>32</v>
      </c>
      <c r="B117" s="9">
        <f t="shared" si="11"/>
        <v>4732451.5939149773</v>
      </c>
      <c r="C117" s="9">
        <f t="shared" si="14"/>
        <v>1727344.8317789668</v>
      </c>
      <c r="D117" s="9">
        <f t="shared" si="12"/>
        <v>79415.865239278501</v>
      </c>
      <c r="E117" s="11">
        <f t="shared" si="13"/>
        <v>76525127.744568765</v>
      </c>
      <c r="F117" s="13">
        <f>E117*('Assumptions and Parameters Pipe'!$C$9/'Assumptions and Parameters Pipe'!$C$8)</f>
        <v>77784495.771342888</v>
      </c>
      <c r="G117" s="13">
        <f>(F117/C117)/'Transition Accelerator Pipe'!$C$39</f>
        <v>0.18012643912797929</v>
      </c>
    </row>
    <row r="120" spans="1:10" ht="15">
      <c r="A120" s="59" t="s">
        <v>261</v>
      </c>
      <c r="B120" s="59"/>
      <c r="C120" s="59"/>
      <c r="D120" s="59"/>
      <c r="E120" s="59"/>
      <c r="F120" s="59"/>
      <c r="G120" s="59"/>
      <c r="H120" s="59"/>
      <c r="I120" s="59"/>
      <c r="J120" s="59"/>
    </row>
    <row r="121" spans="1:10" ht="15">
      <c r="A121" s="3" t="s">
        <v>171</v>
      </c>
      <c r="B121" s="3" t="s">
        <v>112</v>
      </c>
      <c r="C121" s="3" t="s">
        <v>179</v>
      </c>
      <c r="D121" s="3" t="s">
        <v>253</v>
      </c>
      <c r="E121" s="3" t="s">
        <v>254</v>
      </c>
      <c r="F121" s="3" t="s">
        <v>255</v>
      </c>
      <c r="G121" s="3" t="s">
        <v>256</v>
      </c>
      <c r="H121" s="3" t="s">
        <v>257</v>
      </c>
      <c r="I121" s="3" t="s">
        <v>258</v>
      </c>
      <c r="J121" s="3" t="s">
        <v>196</v>
      </c>
    </row>
    <row r="122" spans="1:10">
      <c r="A122" s="4">
        <f t="shared" ref="A122:A134" si="15">A55</f>
        <v>8</v>
      </c>
      <c r="B122" s="9">
        <f t="shared" ref="B122:B134" si="16">E55</f>
        <v>147889.11230984298</v>
      </c>
      <c r="C122" s="9">
        <f>B122/(1000/365)</f>
        <v>53979.525993092691</v>
      </c>
      <c r="D122" s="13">
        <f t="shared" ref="D122:D134" si="17">0.01*G88</f>
        <v>245.3732904435922</v>
      </c>
      <c r="E122" s="13">
        <f t="shared" ref="E122:E134" si="18">0.01*G88</f>
        <v>245.3732904435922</v>
      </c>
      <c r="F122" s="13">
        <f t="shared" ref="F122:F134" si="19">0.001*G88</f>
        <v>24.537329044359222</v>
      </c>
      <c r="G122" s="13">
        <f>0.04*(F88/'Transition Accelerator Pipe'!$C$39)</f>
        <v>981.49316177436879</v>
      </c>
      <c r="H122" s="13">
        <f>SUM(D122:G122)</f>
        <v>1496.7770717059125</v>
      </c>
      <c r="I122" s="30">
        <f>H122/(C122)</f>
        <v>2.7728607174087497E-2</v>
      </c>
      <c r="J122" s="30">
        <f>I122*('Assumptions and Parameters Pipe'!$C$9/'Assumptions and Parameters Pipe'!$C$8)</f>
        <v>2.8184934688085066E-2</v>
      </c>
    </row>
    <row r="123" spans="1:10">
      <c r="A123" s="4">
        <f t="shared" si="15"/>
        <v>10</v>
      </c>
      <c r="B123" s="9">
        <f t="shared" si="16"/>
        <v>258351.64707571064</v>
      </c>
      <c r="C123" s="9">
        <f t="shared" ref="C123:C134" si="20">B123/(1000/365)</f>
        <v>94298.351182634389</v>
      </c>
      <c r="D123" s="13">
        <f t="shared" si="17"/>
        <v>384.24743934956513</v>
      </c>
      <c r="E123" s="13">
        <f t="shared" si="18"/>
        <v>384.24743934956513</v>
      </c>
      <c r="F123" s="13">
        <f t="shared" si="19"/>
        <v>38.42474393495651</v>
      </c>
      <c r="G123" s="13">
        <f>0.04*(F89/'Transition Accelerator Pipe'!$C$39)</f>
        <v>1536.9897573982605</v>
      </c>
      <c r="H123" s="13">
        <f t="shared" ref="H123:H134" si="21">SUM(D123:G123)</f>
        <v>2343.9093800323471</v>
      </c>
      <c r="I123" s="30">
        <f t="shared" ref="I123:I134" si="22">H123/(C123)</f>
        <v>2.4856313505341461E-2</v>
      </c>
      <c r="J123" s="30">
        <f>I123*('Assumptions and Parameters Pipe'!$C$9/'Assumptions and Parameters Pipe'!$C$8)</f>
        <v>2.526537190765589E-2</v>
      </c>
    </row>
    <row r="124" spans="1:10">
      <c r="A124" s="4">
        <f t="shared" si="15"/>
        <v>12</v>
      </c>
      <c r="B124" s="9">
        <f t="shared" si="16"/>
        <v>407534.47163130349</v>
      </c>
      <c r="C124" s="9">
        <f t="shared" si="20"/>
        <v>148750.08214542578</v>
      </c>
      <c r="D124" s="13">
        <f t="shared" si="17"/>
        <v>554.45202491037514</v>
      </c>
      <c r="E124" s="13">
        <f t="shared" si="18"/>
        <v>554.45202491037514</v>
      </c>
      <c r="F124" s="13">
        <f t="shared" si="19"/>
        <v>55.445202491037513</v>
      </c>
      <c r="G124" s="13">
        <f>0.04*(F90/'Transition Accelerator Pipe'!$C$39)</f>
        <v>2217.8080996415006</v>
      </c>
      <c r="H124" s="13">
        <f t="shared" si="21"/>
        <v>3382.1573519532885</v>
      </c>
      <c r="I124" s="30">
        <f t="shared" si="22"/>
        <v>2.2737179725700697E-2</v>
      </c>
      <c r="J124" s="30">
        <f>I124*('Assumptions and Parameters Pipe'!$C$9/'Assumptions and Parameters Pipe'!$C$8)</f>
        <v>2.3111363709569926E-2</v>
      </c>
    </row>
    <row r="125" spans="1:10">
      <c r="A125" s="4">
        <f t="shared" si="15"/>
        <v>14</v>
      </c>
      <c r="B125" s="9">
        <f t="shared" si="16"/>
        <v>599144.15082847851</v>
      </c>
      <c r="C125" s="9">
        <f t="shared" si="20"/>
        <v>218687.61505239466</v>
      </c>
      <c r="D125" s="13">
        <f t="shared" si="17"/>
        <v>756.10219380799037</v>
      </c>
      <c r="E125" s="13">
        <f t="shared" si="18"/>
        <v>756.10219380799037</v>
      </c>
      <c r="F125" s="13">
        <f t="shared" si="19"/>
        <v>75.610219380799037</v>
      </c>
      <c r="G125" s="13">
        <f>0.04*(F91/'Transition Accelerator Pipe'!$C$39)</f>
        <v>3024.4087752319615</v>
      </c>
      <c r="H125" s="13">
        <f t="shared" si="21"/>
        <v>4612.2233822287417</v>
      </c>
      <c r="I125" s="30">
        <f t="shared" si="22"/>
        <v>2.1090464501721848E-2</v>
      </c>
      <c r="J125" s="30">
        <f>I125*('Assumptions and Parameters Pipe'!$C$9/'Assumptions and Parameters Pipe'!$C$8)</f>
        <v>2.1437548622272935E-2</v>
      </c>
    </row>
    <row r="126" spans="1:10">
      <c r="A126" s="4">
        <f t="shared" si="15"/>
        <v>16</v>
      </c>
      <c r="B126" s="9">
        <f t="shared" si="16"/>
        <v>836587.15342359059</v>
      </c>
      <c r="C126" s="9">
        <f t="shared" si="20"/>
        <v>305354.31099961058</v>
      </c>
      <c r="D126" s="13">
        <f t="shared" si="17"/>
        <v>989.29942007450813</v>
      </c>
      <c r="E126" s="13">
        <f t="shared" si="18"/>
        <v>989.29942007450813</v>
      </c>
      <c r="F126" s="13">
        <f t="shared" si="19"/>
        <v>98.929942007450805</v>
      </c>
      <c r="G126" s="13">
        <f>0.04*(F92/'Transition Accelerator Pipe'!$C$39)</f>
        <v>3957.1976802980325</v>
      </c>
      <c r="H126" s="13">
        <f t="shared" si="21"/>
        <v>6034.7264624544996</v>
      </c>
      <c r="I126" s="30">
        <f t="shared" si="22"/>
        <v>1.976303017533686E-2</v>
      </c>
      <c r="J126" s="30">
        <f>I126*('Assumptions and Parameters Pipe'!$C$9/'Assumptions and Parameters Pipe'!$C$8)</f>
        <v>2.008826881326593E-2</v>
      </c>
    </row>
    <row r="127" spans="1:10">
      <c r="A127" s="4">
        <f t="shared" si="15"/>
        <v>18</v>
      </c>
      <c r="B127" s="9">
        <f t="shared" si="16"/>
        <v>1123032.9466028684</v>
      </c>
      <c r="C127" s="9">
        <f t="shared" si="20"/>
        <v>409907.02551004698</v>
      </c>
      <c r="D127" s="13">
        <f t="shared" si="17"/>
        <v>1263.6734209300873</v>
      </c>
      <c r="E127" s="13">
        <f t="shared" si="18"/>
        <v>1263.6734209300873</v>
      </c>
      <c r="F127" s="13">
        <f t="shared" si="19"/>
        <v>126.36734209300873</v>
      </c>
      <c r="G127" s="13">
        <f>0.04*(F93/'Transition Accelerator Pipe'!$C$39)</f>
        <v>5054.6936837203493</v>
      </c>
      <c r="H127" s="13">
        <f t="shared" si="21"/>
        <v>7708.4078676735326</v>
      </c>
      <c r="I127" s="30">
        <f t="shared" si="22"/>
        <v>1.8805259212334717E-2</v>
      </c>
      <c r="J127" s="30">
        <f>I127*('Assumptions and Parameters Pipe'!$C$9/'Assumptions and Parameters Pipe'!$C$8)</f>
        <v>1.911473588862677E-2</v>
      </c>
    </row>
    <row r="128" spans="1:10">
      <c r="A128" s="4">
        <f t="shared" si="15"/>
        <v>20</v>
      </c>
      <c r="B128" s="9">
        <f t="shared" si="16"/>
        <v>1461457.6126235912</v>
      </c>
      <c r="C128" s="9">
        <f t="shared" si="20"/>
        <v>533432.02860761085</v>
      </c>
      <c r="D128" s="13">
        <f t="shared" si="17"/>
        <v>1573.9177092301416</v>
      </c>
      <c r="E128" s="13">
        <f t="shared" si="18"/>
        <v>1573.9177092301416</v>
      </c>
      <c r="F128" s="13">
        <f t="shared" si="19"/>
        <v>157.39177092301415</v>
      </c>
      <c r="G128" s="13">
        <f>0.04*(F94/'Transition Accelerator Pipe'!$C$39)</f>
        <v>6295.6708369205662</v>
      </c>
      <c r="H128" s="13">
        <f t="shared" si="21"/>
        <v>9600.8980263038629</v>
      </c>
      <c r="I128" s="30">
        <f t="shared" si="22"/>
        <v>1.7998353138570577E-2</v>
      </c>
      <c r="J128" s="30">
        <f>I128*('Assumptions and Parameters Pipe'!$C$9/'Assumptions and Parameters Pipe'!$C$8)</f>
        <v>1.8294550624878128E-2</v>
      </c>
    </row>
    <row r="129" spans="1:10">
      <c r="A129" s="4">
        <f t="shared" si="15"/>
        <v>22</v>
      </c>
      <c r="B129" s="9">
        <f t="shared" si="16"/>
        <v>1854675.507167747</v>
      </c>
      <c r="C129" s="9">
        <f t="shared" si="20"/>
        <v>676956.56011622772</v>
      </c>
      <c r="D129" s="13">
        <f t="shared" si="17"/>
        <v>1919.7029384141797</v>
      </c>
      <c r="E129" s="13">
        <f t="shared" si="18"/>
        <v>1919.7029384141797</v>
      </c>
      <c r="F129" s="13">
        <f t="shared" si="19"/>
        <v>191.97029384141797</v>
      </c>
      <c r="G129" s="13">
        <f>0.04*(F95/'Transition Accelerator Pipe'!$C$39)</f>
        <v>7678.8117536567188</v>
      </c>
      <c r="H129" s="13">
        <f t="shared" si="21"/>
        <v>11710.187924326496</v>
      </c>
      <c r="I129" s="30">
        <f t="shared" si="22"/>
        <v>1.7298285612766581E-2</v>
      </c>
      <c r="J129" s="30">
        <f>I129*('Assumptions and Parameters Pipe'!$C$9/'Assumptions and Parameters Pipe'!$C$8)</f>
        <v>1.7582962142695942E-2</v>
      </c>
    </row>
    <row r="130" spans="1:10">
      <c r="A130" s="4">
        <f t="shared" si="15"/>
        <v>24</v>
      </c>
      <c r="B130" s="9">
        <f t="shared" si="16"/>
        <v>2305363.1076621697</v>
      </c>
      <c r="C130" s="9">
        <f t="shared" si="20"/>
        <v>841457.534296692</v>
      </c>
      <c r="D130" s="13">
        <f t="shared" si="17"/>
        <v>2301.3143386265142</v>
      </c>
      <c r="E130" s="13">
        <f t="shared" si="18"/>
        <v>2301.3143386265142</v>
      </c>
      <c r="F130" s="13">
        <f t="shared" si="19"/>
        <v>230.13143386265145</v>
      </c>
      <c r="G130" s="13">
        <f>0.04*(F96/'Transition Accelerator Pipe'!$C$39)</f>
        <v>9205.2573545060568</v>
      </c>
      <c r="H130" s="13">
        <f t="shared" si="21"/>
        <v>14038.017465621737</v>
      </c>
      <c r="I130" s="30">
        <f t="shared" si="22"/>
        <v>1.6682977920395008E-2</v>
      </c>
      <c r="J130" s="30">
        <f>I130*('Assumptions and Parameters Pipe'!$C$9/'Assumptions and Parameters Pipe'!$C$8)</f>
        <v>1.695752837987876E-2</v>
      </c>
    </row>
    <row r="131" spans="1:10">
      <c r="A131" s="4">
        <f t="shared" si="15"/>
        <v>26</v>
      </c>
      <c r="B131" s="9">
        <f t="shared" si="16"/>
        <v>2816077.5125063355</v>
      </c>
      <c r="C131" s="9">
        <f t="shared" si="20"/>
        <v>1027868.2920648125</v>
      </c>
      <c r="D131" s="13">
        <f t="shared" si="17"/>
        <v>2719.0142415066671</v>
      </c>
      <c r="E131" s="13">
        <f t="shared" si="18"/>
        <v>2719.0142415066671</v>
      </c>
      <c r="F131" s="13">
        <f t="shared" si="19"/>
        <v>271.90142415066668</v>
      </c>
      <c r="G131" s="13">
        <f>0.04*(F97/'Transition Accelerator Pipe'!$C$39)</f>
        <v>10876.056966026668</v>
      </c>
      <c r="H131" s="13">
        <f t="shared" si="21"/>
        <v>16585.986873190668</v>
      </c>
      <c r="I131" s="30">
        <f t="shared" si="22"/>
        <v>1.6136295867121498E-2</v>
      </c>
      <c r="J131" s="30">
        <f>I131*('Assumptions and Parameters Pipe'!$C$9/'Assumptions and Parameters Pipe'!$C$8)</f>
        <v>1.6401849622921176E-2</v>
      </c>
    </row>
    <row r="132" spans="1:10">
      <c r="A132" s="4">
        <f t="shared" si="15"/>
        <v>28</v>
      </c>
      <c r="B132" s="9">
        <f t="shared" si="16"/>
        <v>3389271.13567258</v>
      </c>
      <c r="C132" s="9">
        <f t="shared" si="20"/>
        <v>1237083.9645204917</v>
      </c>
      <c r="D132" s="13">
        <f t="shared" si="17"/>
        <v>3173.0456210383891</v>
      </c>
      <c r="E132" s="13">
        <f t="shared" si="18"/>
        <v>3173.0456210383891</v>
      </c>
      <c r="F132" s="13">
        <f t="shared" si="19"/>
        <v>317.30456210383892</v>
      </c>
      <c r="G132" s="13">
        <f>0.04*(F98/'Transition Accelerator Pipe'!$C$39)</f>
        <v>12692.182484153556</v>
      </c>
      <c r="H132" s="13">
        <f t="shared" si="21"/>
        <v>19355.578288334174</v>
      </c>
      <c r="I132" s="30">
        <f t="shared" si="22"/>
        <v>1.564613142151319E-2</v>
      </c>
      <c r="J132" s="30">
        <f>I132*('Assumptions and Parameters Pipe'!$C$9/'Assumptions and Parameters Pipe'!$C$8)</f>
        <v>1.5903618579466455E-2</v>
      </c>
    </row>
    <row r="133" spans="1:10">
      <c r="A133" s="4">
        <f t="shared" si="15"/>
        <v>30</v>
      </c>
      <c r="B133" s="9">
        <f t="shared" si="16"/>
        <v>4027303.6105881133</v>
      </c>
      <c r="C133" s="9">
        <f t="shared" si="20"/>
        <v>1469965.8178646613</v>
      </c>
      <c r="D133" s="13">
        <f t="shared" si="17"/>
        <v>3663.6348622502578</v>
      </c>
      <c r="E133" s="13">
        <f t="shared" si="18"/>
        <v>3663.6348622502578</v>
      </c>
      <c r="F133" s="13">
        <f t="shared" si="19"/>
        <v>366.36348622502578</v>
      </c>
      <c r="G133" s="13">
        <f>0.04*(F99/'Transition Accelerator Pipe'!$C$39)</f>
        <v>14654.539449001031</v>
      </c>
      <c r="H133" s="13">
        <f t="shared" si="21"/>
        <v>22348.172659726573</v>
      </c>
      <c r="I133" s="30">
        <f t="shared" si="22"/>
        <v>1.5203192066187319E-2</v>
      </c>
      <c r="J133" s="30">
        <f>I133*('Assumptions and Parameters Pipe'!$C$9/'Assumptions and Parameters Pipe'!$C$8)</f>
        <v>1.5453389805901921E-2</v>
      </c>
    </row>
    <row r="134" spans="1:10">
      <c r="A134" s="4">
        <f t="shared" si="15"/>
        <v>32</v>
      </c>
      <c r="B134" s="9">
        <f t="shared" si="16"/>
        <v>4732451.5939149773</v>
      </c>
      <c r="C134" s="9">
        <f t="shared" si="20"/>
        <v>1727344.8317789668</v>
      </c>
      <c r="D134" s="13">
        <f t="shared" si="17"/>
        <v>4190.9939684178917</v>
      </c>
      <c r="E134" s="13">
        <f t="shared" si="18"/>
        <v>4190.9939684178917</v>
      </c>
      <c r="F134" s="13">
        <f t="shared" si="19"/>
        <v>419.0993968417892</v>
      </c>
      <c r="G134" s="13">
        <f>0.04*(F100/'Transition Accelerator Pipe'!$C$39)</f>
        <v>16763.975873671567</v>
      </c>
      <c r="H134" s="13">
        <f t="shared" si="21"/>
        <v>25565.06320734914</v>
      </c>
      <c r="I134" s="30">
        <f t="shared" si="22"/>
        <v>1.4800208236950616E-2</v>
      </c>
      <c r="J134" s="30">
        <f>I134*('Assumptions and Parameters Pipe'!$C$9/'Assumptions and Parameters Pipe'!$C$8)</f>
        <v>1.5043774103386396E-2</v>
      </c>
    </row>
    <row r="137" spans="1:10" ht="15">
      <c r="A137" s="59" t="s">
        <v>1049</v>
      </c>
      <c r="B137" s="59"/>
      <c r="C137" s="59"/>
      <c r="D137" s="59"/>
      <c r="E137" s="59"/>
      <c r="F137" s="59"/>
      <c r="G137" s="59"/>
      <c r="H137" s="59"/>
      <c r="I137" s="59"/>
    </row>
    <row r="138" spans="1:10" ht="15">
      <c r="A138" s="3" t="s">
        <v>171</v>
      </c>
      <c r="B138" s="3" t="s">
        <v>173</v>
      </c>
      <c r="C138" s="3" t="s">
        <v>242</v>
      </c>
      <c r="D138" s="3" t="s">
        <v>118</v>
      </c>
      <c r="E138" s="3" t="s">
        <v>180</v>
      </c>
      <c r="F138" s="3" t="s">
        <v>181</v>
      </c>
      <c r="G138" s="3" t="s">
        <v>182</v>
      </c>
      <c r="H138" s="3" t="s">
        <v>178</v>
      </c>
      <c r="I138" s="3" t="s">
        <v>270</v>
      </c>
    </row>
    <row r="139" spans="1:10">
      <c r="A139" s="4">
        <f t="shared" ref="A139:A151" si="23">A55</f>
        <v>8</v>
      </c>
      <c r="B139" s="9">
        <f t="shared" ref="B139:B151" si="24">E55</f>
        <v>147889.11230984298</v>
      </c>
      <c r="C139" s="9">
        <f t="shared" ref="C139:C151" si="25">D71</f>
        <v>2637.6387320540375</v>
      </c>
      <c r="D139" s="14">
        <f>288*((B139/100000)^0.25)</f>
        <v>317.59710738039843</v>
      </c>
      <c r="E139" s="26">
        <f>D139*'Assumptions and Parameters Pipe'!$C$17</f>
        <v>15752.816526067762</v>
      </c>
      <c r="F139" s="13">
        <f>E139*'Assumptions and Parameters Pipe'!$C$18</f>
        <v>7876.4082630338808</v>
      </c>
      <c r="G139" s="27">
        <f>SUM(E139:F139)</f>
        <v>23629.224789101641</v>
      </c>
      <c r="H139" s="29">
        <f>G139/(B139*(365/1000))</f>
        <v>0.43774420679657838</v>
      </c>
      <c r="I139" s="32">
        <f>(H139*('Assumptions and Parameters Pipe'!$C$9/'Assumptions and Parameters Pipe'!$C$8))/'Transition Accelerator Pipe'!$C$39</f>
        <v>1.7798067624834669E-3</v>
      </c>
    </row>
    <row r="140" spans="1:10">
      <c r="A140" s="4">
        <f t="shared" si="23"/>
        <v>10</v>
      </c>
      <c r="B140" s="9">
        <f t="shared" si="24"/>
        <v>258351.64707571064</v>
      </c>
      <c r="C140" s="9">
        <f t="shared" si="25"/>
        <v>4517.6128184948002</v>
      </c>
      <c r="D140" s="14">
        <f t="shared" ref="D140:D151" si="26">288*((B140/100000)^0.25)</f>
        <v>365.12813295048227</v>
      </c>
      <c r="E140" s="26">
        <f>D140*'Assumptions and Parameters Pipe'!$C$17</f>
        <v>18110.355394343922</v>
      </c>
      <c r="F140" s="13">
        <f>E140*'Assumptions and Parameters Pipe'!$C$18</f>
        <v>9055.177697171961</v>
      </c>
      <c r="G140" s="27">
        <f t="shared" ref="G140:G151" si="27">SUM(E140:F140)</f>
        <v>27165.533091515885</v>
      </c>
      <c r="H140" s="29">
        <f t="shared" ref="H140:H151" si="28">G140/(B140*(365/1000))</f>
        <v>0.2880806795752181</v>
      </c>
      <c r="I140" s="32">
        <f>(H140*('Assumptions and Parameters Pipe'!$C$9/'Assumptions and Parameters Pipe'!$C$8))/'Transition Accelerator Pipe'!$C$39</f>
        <v>1.1712957788772584E-3</v>
      </c>
    </row>
    <row r="141" spans="1:10">
      <c r="A141" s="4">
        <f t="shared" si="23"/>
        <v>12</v>
      </c>
      <c r="B141" s="9">
        <f t="shared" si="24"/>
        <v>407534.47163130349</v>
      </c>
      <c r="C141" s="9">
        <f t="shared" si="25"/>
        <v>7014.1392601627158</v>
      </c>
      <c r="D141" s="14">
        <f t="shared" si="26"/>
        <v>409.19806861218865</v>
      </c>
      <c r="E141" s="26">
        <f>D141*'Assumptions and Parameters Pipe'!$C$17</f>
        <v>20296.224203164558</v>
      </c>
      <c r="F141" s="13">
        <f>E141*'Assumptions and Parameters Pipe'!$C$18</f>
        <v>10148.112101582279</v>
      </c>
      <c r="G141" s="27">
        <f t="shared" si="27"/>
        <v>30444.336304746837</v>
      </c>
      <c r="H141" s="29">
        <f t="shared" si="28"/>
        <v>0.20466769406542498</v>
      </c>
      <c r="I141" s="32">
        <f>(H141*('Assumptions and Parameters Pipe'!$C$9/'Assumptions and Parameters Pipe'!$C$8))/'Transition Accelerator Pipe'!$C$39</f>
        <v>8.3215023820707714E-4</v>
      </c>
    </row>
    <row r="142" spans="1:10">
      <c r="A142" s="4">
        <f t="shared" si="23"/>
        <v>14</v>
      </c>
      <c r="B142" s="9">
        <f t="shared" si="24"/>
        <v>599144.15082847851</v>
      </c>
      <c r="C142" s="9">
        <f t="shared" si="25"/>
        <v>10176.580862194201</v>
      </c>
      <c r="D142" s="14">
        <f t="shared" si="26"/>
        <v>450.58353584932047</v>
      </c>
      <c r="E142" s="26">
        <f>D142*'Assumptions and Parameters Pipe'!$C$17</f>
        <v>22348.943378126296</v>
      </c>
      <c r="F142" s="13">
        <f>E142*'Assumptions and Parameters Pipe'!$C$18</f>
        <v>11174.471689063148</v>
      </c>
      <c r="G142" s="27">
        <f t="shared" si="27"/>
        <v>33523.415067189446</v>
      </c>
      <c r="H142" s="29">
        <f t="shared" si="28"/>
        <v>0.15329361500036331</v>
      </c>
      <c r="I142" s="32">
        <f>(H142*('Assumptions and Parameters Pipe'!$C$9/'Assumptions and Parameters Pipe'!$C$8))/'Transition Accelerator Pipe'!$C$39</f>
        <v>6.2327041314785532E-4</v>
      </c>
    </row>
    <row r="143" spans="1:10">
      <c r="A143" s="4">
        <f t="shared" si="23"/>
        <v>16</v>
      </c>
      <c r="B143" s="9">
        <f t="shared" si="24"/>
        <v>836587.15342359059</v>
      </c>
      <c r="C143" s="9">
        <f t="shared" si="25"/>
        <v>14049.814221818846</v>
      </c>
      <c r="D143" s="14">
        <f t="shared" si="26"/>
        <v>489.80169712029863</v>
      </c>
      <c r="E143" s="26">
        <f>D143*'Assumptions and Parameters Pipe'!$C$17</f>
        <v>24294.164177166811</v>
      </c>
      <c r="F143" s="13">
        <f>E143*'Assumptions and Parameters Pipe'!$C$18</f>
        <v>12147.082088583405</v>
      </c>
      <c r="G143" s="27">
        <f t="shared" si="27"/>
        <v>36441.246265750218</v>
      </c>
      <c r="H143" s="29">
        <f t="shared" si="28"/>
        <v>0.11934086061027215</v>
      </c>
      <c r="I143" s="32">
        <f>(H143*('Assumptions and Parameters Pipe'!$C$9/'Assumptions and Parameters Pipe'!$C$8))/'Transition Accelerator Pipe'!$C$39</f>
        <v>4.8522325928453483E-4</v>
      </c>
    </row>
    <row r="144" spans="1:10">
      <c r="A144" s="4">
        <f t="shared" si="23"/>
        <v>18</v>
      </c>
      <c r="B144" s="9">
        <f t="shared" si="24"/>
        <v>1123032.9466028684</v>
      </c>
      <c r="C144" s="9">
        <f t="shared" si="25"/>
        <v>18845.757083149056</v>
      </c>
      <c r="D144" s="14">
        <f t="shared" si="26"/>
        <v>527.21846473051266</v>
      </c>
      <c r="E144" s="26">
        <f>D144*'Assumptions and Parameters Pipe'!$C$17</f>
        <v>26150.035850633431</v>
      </c>
      <c r="F144" s="13">
        <f>E144*'Assumptions and Parameters Pipe'!$C$18</f>
        <v>13075.017925316715</v>
      </c>
      <c r="G144" s="27">
        <f t="shared" si="27"/>
        <v>39225.053775950146</v>
      </c>
      <c r="H144" s="29">
        <f t="shared" si="28"/>
        <v>9.5692562788213864E-2</v>
      </c>
      <c r="I144" s="32">
        <f>(H144*('Assumptions and Parameters Pipe'!$C$9/'Assumptions and Parameters Pipe'!$C$8))/'Transition Accelerator Pipe'!$C$39</f>
        <v>3.8907258560016208E-4</v>
      </c>
    </row>
    <row r="145" spans="1:9">
      <c r="A145" s="4">
        <f t="shared" si="23"/>
        <v>20</v>
      </c>
      <c r="B145" s="9">
        <f t="shared" si="24"/>
        <v>1461457.6126235912</v>
      </c>
      <c r="C145" s="9">
        <f t="shared" si="25"/>
        <v>24524.90395596806</v>
      </c>
      <c r="D145" s="14">
        <f t="shared" si="26"/>
        <v>563.10455929722377</v>
      </c>
      <c r="E145" s="26">
        <f>D145*'Assumptions and Parameters Pipe'!$C$17</f>
        <v>27929.986141142301</v>
      </c>
      <c r="F145" s="13">
        <f>E145*'Assumptions and Parameters Pipe'!$C$18</f>
        <v>13964.99307057115</v>
      </c>
      <c r="G145" s="27">
        <f t="shared" si="27"/>
        <v>41894.979211713449</v>
      </c>
      <c r="H145" s="29">
        <f t="shared" si="28"/>
        <v>7.8538552177059351E-2</v>
      </c>
      <c r="I145" s="32">
        <f>(H145*('Assumptions and Parameters Pipe'!$C$9/'Assumptions and Parameters Pipe'!$C$8))/'Transition Accelerator Pipe'!$C$39</f>
        <v>3.1932677602595621E-4</v>
      </c>
    </row>
    <row r="146" spans="1:9">
      <c r="A146" s="4">
        <f t="shared" si="23"/>
        <v>22</v>
      </c>
      <c r="B146" s="9">
        <f t="shared" si="24"/>
        <v>1854675.507167747</v>
      </c>
      <c r="C146" s="9">
        <f t="shared" si="25"/>
        <v>31123.542886146315</v>
      </c>
      <c r="D146" s="14">
        <f t="shared" si="26"/>
        <v>597.66726818810434</v>
      </c>
      <c r="E146" s="26">
        <f>D146*'Assumptions and Parameters Pipe'!$C$17</f>
        <v>29644.296502129975</v>
      </c>
      <c r="F146" s="13">
        <f>E146*'Assumptions and Parameters Pipe'!$C$18</f>
        <v>14822.148251064988</v>
      </c>
      <c r="G146" s="27">
        <f t="shared" si="27"/>
        <v>44466.444753194963</v>
      </c>
      <c r="H146" s="29">
        <f t="shared" si="28"/>
        <v>6.5685817042027722E-2</v>
      </c>
      <c r="I146" s="32">
        <f>(H146*('Assumptions and Parameters Pipe'!$C$9/'Assumptions and Parameters Pipe'!$C$8))/'Transition Accelerator Pipe'!$C$39</f>
        <v>2.6706935135975513E-4</v>
      </c>
    </row>
    <row r="147" spans="1:9">
      <c r="A147" s="4">
        <f t="shared" si="23"/>
        <v>24</v>
      </c>
      <c r="B147" s="9">
        <f t="shared" si="24"/>
        <v>2305363.1076621697</v>
      </c>
      <c r="C147" s="9">
        <f t="shared" si="25"/>
        <v>38686.58817791436</v>
      </c>
      <c r="D147" s="14">
        <f t="shared" si="26"/>
        <v>631.06969114973867</v>
      </c>
      <c r="E147" s="26">
        <f>D147*'Assumptions and Parameters Pipe'!$C$17</f>
        <v>31301.056681027039</v>
      </c>
      <c r="F147" s="13">
        <f>E147*'Assumptions and Parameters Pipe'!$C$18</f>
        <v>15650.52834051352</v>
      </c>
      <c r="G147" s="27">
        <f t="shared" si="27"/>
        <v>46951.585021540559</v>
      </c>
      <c r="H147" s="29">
        <f t="shared" si="28"/>
        <v>5.5797925751278336E-2</v>
      </c>
      <c r="I147" s="32">
        <f>(H147*('Assumptions and Parameters Pipe'!$C$9/'Assumptions and Parameters Pipe'!$C$8))/'Transition Accelerator Pipe'!$C$39</f>
        <v>2.2686656737601357E-4</v>
      </c>
    </row>
    <row r="148" spans="1:9">
      <c r="A148" s="4">
        <f t="shared" si="23"/>
        <v>26</v>
      </c>
      <c r="B148" s="9">
        <f t="shared" si="24"/>
        <v>2816077.5125063355</v>
      </c>
      <c r="C148" s="9">
        <f t="shared" si="25"/>
        <v>47256.950821034348</v>
      </c>
      <c r="D148" s="14">
        <f t="shared" si="26"/>
        <v>663.44303468615726</v>
      </c>
      <c r="E148" s="26">
        <f>D148*'Assumptions and Parameters Pipe'!$C$17</f>
        <v>32906.774520433399</v>
      </c>
      <c r="F148" s="13">
        <f>E148*'Assumptions and Parameters Pipe'!$C$18</f>
        <v>16453.387260216699</v>
      </c>
      <c r="G148" s="27">
        <f t="shared" si="27"/>
        <v>49360.161780650102</v>
      </c>
      <c r="H148" s="29">
        <f t="shared" si="28"/>
        <v>4.8021874165895262E-2</v>
      </c>
      <c r="I148" s="32">
        <f>(H148*('Assumptions and Parameters Pipe'!$C$9/'Assumptions and Parameters Pipe'!$C$8))/'Transition Accelerator Pipe'!$C$39</f>
        <v>1.9525022846803453E-4</v>
      </c>
    </row>
    <row r="149" spans="1:9">
      <c r="A149" s="4">
        <f t="shared" si="23"/>
        <v>28</v>
      </c>
      <c r="B149" s="9">
        <f t="shared" si="24"/>
        <v>3389271.13567258</v>
      </c>
      <c r="C149" s="9">
        <f t="shared" si="25"/>
        <v>56875.785082733957</v>
      </c>
      <c r="D149" s="14">
        <f t="shared" si="26"/>
        <v>694.894806737409</v>
      </c>
      <c r="E149" s="26">
        <f>D149*'Assumptions and Parameters Pipe'!$C$17</f>
        <v>34466.78241417549</v>
      </c>
      <c r="F149" s="13">
        <f>E149*'Assumptions and Parameters Pipe'!$C$18</f>
        <v>17233.391207087745</v>
      </c>
      <c r="G149" s="27">
        <f t="shared" si="27"/>
        <v>51700.173621263239</v>
      </c>
      <c r="H149" s="29">
        <f t="shared" si="28"/>
        <v>4.1791968131526816E-2</v>
      </c>
      <c r="I149" s="32">
        <f>(H149*('Assumptions and Parameters Pipe'!$C$9/'Assumptions and Parameters Pipe'!$C$8))/'Transition Accelerator Pipe'!$C$39</f>
        <v>1.6992030126980167E-4</v>
      </c>
    </row>
    <row r="150" spans="1:9">
      <c r="A150" s="4">
        <f t="shared" si="23"/>
        <v>30</v>
      </c>
      <c r="B150" s="9">
        <f t="shared" si="24"/>
        <v>4027303.6105881133</v>
      </c>
      <c r="C150" s="9">
        <f t="shared" si="25"/>
        <v>67582.688268247162</v>
      </c>
      <c r="D150" s="14">
        <f t="shared" si="26"/>
        <v>725.51447332660075</v>
      </c>
      <c r="E150" s="26">
        <f>D150*'Assumptions and Parameters Pipe'!$C$17</f>
        <v>35985.517876999402</v>
      </c>
      <c r="F150" s="13">
        <f>E150*'Assumptions and Parameters Pipe'!$C$18</f>
        <v>17992.758938499701</v>
      </c>
      <c r="G150" s="27">
        <f t="shared" si="27"/>
        <v>53978.276815499106</v>
      </c>
      <c r="H150" s="29">
        <f t="shared" si="28"/>
        <v>3.6720770074715331E-2</v>
      </c>
      <c r="I150" s="32">
        <f>(H150*('Assumptions and Parameters Pipe'!$C$9/'Assumptions and Parameters Pipe'!$C$8))/'Transition Accelerator Pipe'!$C$39</f>
        <v>1.493015187587623E-4</v>
      </c>
    </row>
    <row r="151" spans="1:9">
      <c r="A151" s="4">
        <f t="shared" si="23"/>
        <v>32</v>
      </c>
      <c r="B151" s="9">
        <f t="shared" si="24"/>
        <v>4732451.5939149773</v>
      </c>
      <c r="C151" s="9">
        <f t="shared" si="25"/>
        <v>79415.865239278501</v>
      </c>
      <c r="D151" s="14">
        <f t="shared" si="26"/>
        <v>755.37747960210629</v>
      </c>
      <c r="E151" s="26">
        <f>D151*'Assumptions and Parameters Pipe'!$C$17</f>
        <v>37466.722988264475</v>
      </c>
      <c r="F151" s="13">
        <f>E151*'Assumptions and Parameters Pipe'!$C$18</f>
        <v>18733.361494132238</v>
      </c>
      <c r="G151" s="27">
        <f t="shared" si="27"/>
        <v>56200.084482396713</v>
      </c>
      <c r="H151" s="29">
        <f t="shared" si="28"/>
        <v>3.2535532829607097E-2</v>
      </c>
      <c r="I151" s="32">
        <f>(H151*('Assumptions and Parameters Pipe'!$C$9/'Assumptions and Parameters Pipe'!$C$8))/'Transition Accelerator Pipe'!$C$39</f>
        <v>1.3228492907970608E-4</v>
      </c>
    </row>
  </sheetData>
  <mergeCells count="10">
    <mergeCell ref="A31:G31"/>
    <mergeCell ref="A14:E14"/>
    <mergeCell ref="A46:G46"/>
    <mergeCell ref="A137:I137"/>
    <mergeCell ref="A120:J120"/>
    <mergeCell ref="A103:G103"/>
    <mergeCell ref="A86:H86"/>
    <mergeCell ref="A69:F69"/>
    <mergeCell ref="A43:G43"/>
    <mergeCell ref="A53:E5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14D1-B394-4F5D-95A3-E066E8E68D30}">
  <dimension ref="A1:J49"/>
  <sheetViews>
    <sheetView tabSelected="1" topLeftCell="C51" zoomScaleNormal="100" workbookViewId="0">
      <selection activeCell="F70" sqref="F70"/>
    </sheetView>
  </sheetViews>
  <sheetFormatPr defaultRowHeight="14.25"/>
  <cols>
    <col min="1" max="1" width="33.25" bestFit="1" customWidth="1"/>
    <col min="2" max="2" width="23" bestFit="1" customWidth="1"/>
    <col min="3" max="3" width="34.125" customWidth="1"/>
    <col min="4" max="4" width="27.375" bestFit="1" customWidth="1"/>
    <col min="5" max="5" width="67.125" bestFit="1" customWidth="1"/>
    <col min="6" max="6" width="73.875" bestFit="1" customWidth="1"/>
    <col min="7" max="7" width="67.125" bestFit="1" customWidth="1"/>
    <col min="8" max="8" width="73.875" bestFit="1" customWidth="1"/>
    <col min="9" max="9" width="62" bestFit="1" customWidth="1"/>
    <col min="10" max="10" width="57.375" bestFit="1" customWidth="1"/>
  </cols>
  <sheetData>
    <row r="1" spans="1:8" ht="15">
      <c r="A1" s="59" t="s">
        <v>264</v>
      </c>
      <c r="B1" s="59"/>
      <c r="C1" s="59"/>
      <c r="D1" s="59"/>
      <c r="E1" s="59"/>
      <c r="F1" s="59"/>
      <c r="G1" s="59"/>
    </row>
    <row r="2" spans="1:8" ht="15">
      <c r="A2" s="3" t="s">
        <v>171</v>
      </c>
      <c r="B2" s="3" t="s">
        <v>111</v>
      </c>
      <c r="C2" s="3" t="s">
        <v>173</v>
      </c>
      <c r="D2" s="3" t="s">
        <v>175</v>
      </c>
      <c r="E2" s="3" t="s">
        <v>262</v>
      </c>
      <c r="F2" s="3" t="s">
        <v>849</v>
      </c>
      <c r="G2" s="3" t="s">
        <v>263</v>
      </c>
    </row>
    <row r="3" spans="1:8">
      <c r="A3" s="4">
        <f>'Transition Accelerator Pipe'!B48</f>
        <v>8</v>
      </c>
      <c r="B3" s="9">
        <f>'Transition Accelerator Pipe'!F48</f>
        <v>1773250.7471204193</v>
      </c>
      <c r="C3" s="9">
        <f>'Transition Accelerator Pipe'!G48</f>
        <v>147889.11230984298</v>
      </c>
      <c r="D3" s="9">
        <f>'Transition Accelerator Pipe'!I48</f>
        <v>53979.525993092684</v>
      </c>
      <c r="E3" s="27">
        <f>'Transition Accelerator Pipe'!I65</f>
        <v>1369179.8640904687</v>
      </c>
      <c r="F3" s="27">
        <f>'Transition Accelerator Compress'!H88</f>
        <v>24941.137944411599</v>
      </c>
      <c r="G3" s="13">
        <f>SUM(E3:F3)</f>
        <v>1394121.0020348802</v>
      </c>
      <c r="H3" s="7"/>
    </row>
    <row r="4" spans="1:8">
      <c r="A4" s="4">
        <f>'Transition Accelerator Pipe'!B49</f>
        <v>10</v>
      </c>
      <c r="B4" s="9">
        <f>'Transition Accelerator Pipe'!F49</f>
        <v>3097741.5716512068</v>
      </c>
      <c r="C4" s="9">
        <f>'Transition Accelerator Pipe'!G49</f>
        <v>258351.64707571064</v>
      </c>
      <c r="D4" s="9">
        <f>'Transition Accelerator Pipe'!I49</f>
        <v>94298.351182634389</v>
      </c>
      <c r="E4" s="27">
        <f>'Transition Accelerator Pipe'!I66</f>
        <v>1593404.015021628</v>
      </c>
      <c r="F4" s="27">
        <f>'Transition Accelerator Compress'!H89</f>
        <v>39057.096932918044</v>
      </c>
      <c r="G4" s="13">
        <f t="shared" ref="G4:G15" si="0">SUM(E4:F4)</f>
        <v>1632461.1119545461</v>
      </c>
      <c r="H4" s="7"/>
    </row>
    <row r="5" spans="1:8">
      <c r="A5" s="4">
        <f>'Transition Accelerator Pipe'!B50</f>
        <v>12</v>
      </c>
      <c r="B5" s="9">
        <f>'Transition Accelerator Pipe'!F50</f>
        <v>4886504.4560108334</v>
      </c>
      <c r="C5" s="9">
        <f>'Transition Accelerator Pipe'!G50</f>
        <v>407534.47163130349</v>
      </c>
      <c r="D5" s="9">
        <f>'Transition Accelerator Pipe'!I50</f>
        <v>148750.08214542575</v>
      </c>
      <c r="E5" s="27">
        <f>'Transition Accelerator Pipe'!I67</f>
        <v>1824570.5390199786</v>
      </c>
      <c r="F5" s="27">
        <f>'Transition Accelerator Compress'!H90</f>
        <v>56357.659840841618</v>
      </c>
      <c r="G5" s="13">
        <f t="shared" si="0"/>
        <v>1880928.1988608202</v>
      </c>
      <c r="H5" s="7"/>
    </row>
    <row r="6" spans="1:8">
      <c r="A6" s="4">
        <f>'Transition Accelerator Pipe'!B51</f>
        <v>14</v>
      </c>
      <c r="B6" s="9">
        <f>'Transition Accelerator Pipe'!F51</f>
        <v>7183982.6238426678</v>
      </c>
      <c r="C6" s="9">
        <f>'Transition Accelerator Pipe'!G51</f>
        <v>599144.15082847851</v>
      </c>
      <c r="D6" s="9">
        <f>'Transition Accelerator Pipe'!I51</f>
        <v>218687.61505239466</v>
      </c>
      <c r="E6" s="27">
        <f>'Transition Accelerator Pipe'!I68</f>
        <v>2063258.7479927503</v>
      </c>
      <c r="F6" s="27">
        <f>'Transition Accelerator Compress'!H91</f>
        <v>76854.530832370758</v>
      </c>
      <c r="G6" s="13">
        <f t="shared" si="0"/>
        <v>2140113.278825121</v>
      </c>
      <c r="H6" s="7"/>
    </row>
    <row r="7" spans="1:8">
      <c r="A7" s="4">
        <f>'Transition Accelerator Pipe'!B52</f>
        <v>16</v>
      </c>
      <c r="B7" s="9">
        <f>'Transition Accelerator Pipe'!F52</f>
        <v>10031021.024263676</v>
      </c>
      <c r="C7" s="9">
        <f>'Transition Accelerator Pipe'!G52</f>
        <v>836587.15342359059</v>
      </c>
      <c r="D7" s="9">
        <f>'Transition Accelerator Pipe'!I52</f>
        <v>305354.31099961052</v>
      </c>
      <c r="E7" s="27">
        <f>'Transition Accelerator Pipe'!I69</f>
        <v>2310135.5445420775</v>
      </c>
      <c r="F7" s="27">
        <f>'Transition Accelerator Compress'!H92</f>
        <v>100558.02430573413</v>
      </c>
      <c r="G7" s="13">
        <f t="shared" si="0"/>
        <v>2410693.5688478118</v>
      </c>
      <c r="H7" s="7"/>
    </row>
    <row r="8" spans="1:8">
      <c r="A8" s="4">
        <f>'Transition Accelerator Pipe'!B53</f>
        <v>18</v>
      </c>
      <c r="B8" s="9">
        <f>'Transition Accelerator Pipe'!F53</f>
        <v>13465622.860945662</v>
      </c>
      <c r="C8" s="9">
        <f>'Transition Accelerator Pipe'!G53</f>
        <v>1123032.9466028684</v>
      </c>
      <c r="D8" s="9">
        <f>'Transition Accelerator Pipe'!I53</f>
        <v>409907.02551004698</v>
      </c>
      <c r="E8" s="27">
        <f>'Transition Accelerator Pipe'!I70</f>
        <v>2565968.6654867404</v>
      </c>
      <c r="F8" s="27">
        <f>'Transition Accelerator Compress'!H93</f>
        <v>128446.95953306793</v>
      </c>
      <c r="G8" s="13">
        <f t="shared" si="0"/>
        <v>2694415.6250198083</v>
      </c>
      <c r="H8" s="7"/>
    </row>
    <row r="9" spans="1:8">
      <c r="A9" s="4">
        <f>'Transition Accelerator Pipe'!B54</f>
        <v>20</v>
      </c>
      <c r="B9" s="9">
        <f>'Transition Accelerator Pipe'!F54</f>
        <v>17523472.573424354</v>
      </c>
      <c r="C9" s="9">
        <f>'Transition Accelerator Pipe'!G54</f>
        <v>1461457.6126235912</v>
      </c>
      <c r="D9" s="9">
        <f>'Transition Accelerator Pipe'!I54</f>
        <v>533432.02860761073</v>
      </c>
      <c r="E9" s="27">
        <f>'Transition Accelerator Pipe'!I71</f>
        <v>2831641.9277754505</v>
      </c>
      <c r="F9" s="27">
        <f>'Transition Accelerator Compress'!H94</f>
        <v>159981.9549556291</v>
      </c>
      <c r="G9" s="13">
        <f t="shared" si="0"/>
        <v>2991623.8827310796</v>
      </c>
      <c r="H9" s="7"/>
    </row>
    <row r="10" spans="1:8">
      <c r="A10" s="4">
        <f>'Transition Accelerator Pipe'!B55</f>
        <v>22</v>
      </c>
      <c r="B10" s="9">
        <f>'Transition Accelerator Pipe'!F55</f>
        <v>22238315.433666032</v>
      </c>
      <c r="C10" s="9">
        <f>'Transition Accelerator Pipe'!G55</f>
        <v>1854675.507167747</v>
      </c>
      <c r="D10" s="9">
        <f>'Transition Accelerator Pipe'!I55</f>
        <v>676956.5601162276</v>
      </c>
      <c r="E10" s="27">
        <f>'Transition Accelerator Pipe'!I72</f>
        <v>3108172.7795489286</v>
      </c>
      <c r="F10" s="27">
        <f>'Transition Accelerator Compress'!H95</f>
        <v>195129.53391431642</v>
      </c>
      <c r="G10" s="13">
        <f t="shared" si="0"/>
        <v>3303302.3134632451</v>
      </c>
      <c r="H10" s="7"/>
    </row>
    <row r="11" spans="1:8">
      <c r="A11" s="4">
        <f>'Transition Accelerator Pipe'!B56</f>
        <v>24</v>
      </c>
      <c r="B11" s="9">
        <f>'Transition Accelerator Pipe'!F56</f>
        <v>27642243.49714832</v>
      </c>
      <c r="C11" s="9">
        <f>'Transition Accelerator Pipe'!G56</f>
        <v>2305363.1076621697</v>
      </c>
      <c r="D11" s="9">
        <f>'Transition Accelerator Pipe'!I56</f>
        <v>841457.53429669188</v>
      </c>
      <c r="E11" s="27">
        <f>'Transition Accelerator Pipe'!I73</f>
        <v>3396732.50488423</v>
      </c>
      <c r="F11" s="27">
        <f>'Transition Accelerator Compress'!H96</f>
        <v>233918.6888245731</v>
      </c>
      <c r="G11" s="13">
        <f t="shared" si="0"/>
        <v>3630651.193708803</v>
      </c>
      <c r="H11" s="7"/>
    </row>
    <row r="12" spans="1:8">
      <c r="A12" s="4">
        <f>'Transition Accelerator Pipe'!B57</f>
        <v>26</v>
      </c>
      <c r="B12" s="9">
        <f>'Transition Accelerator Pipe'!F57</f>
        <v>33765917.416143112</v>
      </c>
      <c r="C12" s="9">
        <f>'Transition Accelerator Pipe'!G57</f>
        <v>2816077.5125063355</v>
      </c>
      <c r="D12" s="9">
        <f>'Transition Accelerator Pipe'!I57</f>
        <v>1027868.2920648124</v>
      </c>
      <c r="E12" s="27">
        <f>'Transition Accelerator Pipe'!I74</f>
        <v>3698669.4834522759</v>
      </c>
      <c r="F12" s="27">
        <f>'Transition Accelerator Compress'!H97</f>
        <v>276376.08456747339</v>
      </c>
      <c r="G12" s="13">
        <f t="shared" si="0"/>
        <v>3975045.5680197491</v>
      </c>
      <c r="H12" s="7"/>
    </row>
    <row r="13" spans="1:8">
      <c r="A13" s="4">
        <f>'Transition Accelerator Pipe'!B58</f>
        <v>28</v>
      </c>
      <c r="B13" s="9">
        <f>'Transition Accelerator Pipe'!F58</f>
        <v>40638742.633963786</v>
      </c>
      <c r="C13" s="9">
        <f>'Transition Accelerator Pipe'!G58</f>
        <v>3389271.13567258</v>
      </c>
      <c r="D13" s="9">
        <f>'Transition Accelerator Pipe'!I58</f>
        <v>1237083.9645204917</v>
      </c>
      <c r="E13" s="27">
        <f>'Transition Accelerator Pipe'!I75</f>
        <v>4015535.9669847907</v>
      </c>
      <c r="F13" s="27">
        <f>'Transition Accelerator Compress'!H98</f>
        <v>322526.41840177233</v>
      </c>
      <c r="G13" s="13">
        <f t="shared" si="0"/>
        <v>4338062.3853865629</v>
      </c>
      <c r="H13" s="7"/>
    </row>
    <row r="14" spans="1:8">
      <c r="A14" s="4">
        <f>'Transition Accelerator Pipe'!B59</f>
        <v>30</v>
      </c>
      <c r="B14" s="9">
        <f>'Transition Accelerator Pipe'!F59</f>
        <v>48289012.117363468</v>
      </c>
      <c r="C14" s="9">
        <f>'Transition Accelerator Pipe'!G59</f>
        <v>4027303.6105881133</v>
      </c>
      <c r="D14" s="9">
        <f>'Transition Accelerator Pipe'!I59</f>
        <v>1469965.8178646616</v>
      </c>
      <c r="E14" s="27">
        <f>'Transition Accelerator Pipe'!I76</f>
        <v>4349118.9042845489</v>
      </c>
      <c r="F14" s="27">
        <f>'Transition Accelerator Compress'!H99</f>
        <v>372392.70139039407</v>
      </c>
      <c r="G14" s="13">
        <f t="shared" si="0"/>
        <v>4721511.605674943</v>
      </c>
      <c r="H14" s="7"/>
    </row>
    <row r="15" spans="1:8">
      <c r="A15" s="4">
        <f>'Transition Accelerator Pipe'!B60</f>
        <v>32</v>
      </c>
      <c r="B15" s="9">
        <f>'Transition Accelerator Pipe'!F60</f>
        <v>56744023.907853439</v>
      </c>
      <c r="C15" s="9">
        <f>'Transition Accelerator Pipe'!G60</f>
        <v>4732451.5939149773</v>
      </c>
      <c r="D15" s="9">
        <f>'Transition Accelerator Pipe'!I60</f>
        <v>1727344.8317789666</v>
      </c>
      <c r="E15" s="27">
        <f>'Transition Accelerator Pipe'!I77</f>
        <v>4701475.426909849</v>
      </c>
      <c r="F15" s="27">
        <f>'Transition Accelerator Compress'!H100</f>
        <v>425996.48275302869</v>
      </c>
      <c r="G15" s="13">
        <f t="shared" si="0"/>
        <v>5127471.9096628781</v>
      </c>
      <c r="H15" s="7"/>
    </row>
    <row r="18" spans="1:7" ht="15">
      <c r="A18" s="62" t="s">
        <v>265</v>
      </c>
      <c r="B18" s="63"/>
      <c r="C18" s="63"/>
      <c r="D18" s="63"/>
      <c r="E18" s="63"/>
      <c r="F18" s="63"/>
      <c r="G18" s="64"/>
    </row>
    <row r="19" spans="1:7" ht="15">
      <c r="A19" s="3" t="s">
        <v>171</v>
      </c>
      <c r="B19" s="3" t="s">
        <v>111</v>
      </c>
      <c r="C19" s="3" t="s">
        <v>173</v>
      </c>
      <c r="D19" s="3" t="s">
        <v>175</v>
      </c>
      <c r="E19" s="3" t="s">
        <v>271</v>
      </c>
      <c r="F19" s="3" t="s">
        <v>272</v>
      </c>
      <c r="G19" s="3" t="s">
        <v>850</v>
      </c>
    </row>
    <row r="20" spans="1:7">
      <c r="A20" s="4">
        <f>'Transition Accelerator Pipe'!B48</f>
        <v>8</v>
      </c>
      <c r="B20" s="9">
        <f>'Transition Accelerator Pipe'!F48</f>
        <v>1773250.7471204193</v>
      </c>
      <c r="C20" s="9">
        <f>'Transition Accelerator Pipe'!G48</f>
        <v>147889.11230984298</v>
      </c>
      <c r="D20" s="9">
        <f>'Transition Accelerator Pipe'!I48</f>
        <v>53979.525993092684</v>
      </c>
      <c r="E20" s="13">
        <f>'Transition Accelerator Compress'!G105</f>
        <v>0.19144123248600339</v>
      </c>
      <c r="F20" s="13">
        <f>SUM(E20)</f>
        <v>0.19144123248600339</v>
      </c>
      <c r="G20" s="13">
        <f>F20*D20</f>
        <v>10333.90698512792</v>
      </c>
    </row>
    <row r="21" spans="1:7">
      <c r="A21" s="4">
        <f>'Transition Accelerator Pipe'!B49</f>
        <v>10</v>
      </c>
      <c r="B21" s="9">
        <f>'Transition Accelerator Pipe'!F49</f>
        <v>3097741.5716512068</v>
      </c>
      <c r="C21" s="9">
        <f>'Transition Accelerator Pipe'!G49</f>
        <v>258351.64707571064</v>
      </c>
      <c r="D21" s="9">
        <f>'Transition Accelerator Pipe'!I49</f>
        <v>94298.351182634389</v>
      </c>
      <c r="E21" s="13">
        <f>'Transition Accelerator Compress'!G106</f>
        <v>0.18769562274743848</v>
      </c>
      <c r="F21" s="13">
        <f t="shared" ref="F21:F32" si="1">SUM(E21)</f>
        <v>0.18769562274743848</v>
      </c>
      <c r="G21" s="13">
        <f t="shared" ref="G21:G32" si="2">G20+F21*(D21-D20)</f>
        <v>17901.573987524062</v>
      </c>
    </row>
    <row r="22" spans="1:7">
      <c r="A22" s="4">
        <f>'Transition Accelerator Pipe'!B50</f>
        <v>12</v>
      </c>
      <c r="B22" s="9">
        <f>'Transition Accelerator Pipe'!F50</f>
        <v>4886504.4560108334</v>
      </c>
      <c r="C22" s="9">
        <f>'Transition Accelerator Pipe'!G50</f>
        <v>407534.47163130349</v>
      </c>
      <c r="D22" s="9">
        <f>'Transition Accelerator Pipe'!I50</f>
        <v>148750.08214542575</v>
      </c>
      <c r="E22" s="13">
        <f>'Transition Accelerator Compress'!G107</f>
        <v>0.18474232570479049</v>
      </c>
      <c r="F22" s="13">
        <f t="shared" si="1"/>
        <v>0.18474232570479049</v>
      </c>
      <c r="G22" s="13">
        <f t="shared" si="2"/>
        <v>27961.113404241689</v>
      </c>
    </row>
    <row r="23" spans="1:7">
      <c r="A23" s="4">
        <f>'Transition Accelerator Pipe'!B51</f>
        <v>14</v>
      </c>
      <c r="B23" s="9">
        <f>'Transition Accelerator Pipe'!F51</f>
        <v>7183982.6238426678</v>
      </c>
      <c r="C23" s="9">
        <f>'Transition Accelerator Pipe'!G51</f>
        <v>599144.15082847851</v>
      </c>
      <c r="D23" s="9">
        <f>'Transition Accelerator Pipe'!I51</f>
        <v>218687.61505239466</v>
      </c>
      <c r="E23" s="13">
        <f>'Transition Accelerator Compress'!G108</f>
        <v>0.18231690351822327</v>
      </c>
      <c r="F23" s="13">
        <f t="shared" si="1"/>
        <v>0.18231690351822327</v>
      </c>
      <c r="G23" s="13">
        <f t="shared" si="2"/>
        <v>40711.907843544104</v>
      </c>
    </row>
    <row r="24" spans="1:7">
      <c r="A24" s="4">
        <f>'Transition Accelerator Pipe'!B52</f>
        <v>16</v>
      </c>
      <c r="B24" s="9">
        <f>'Transition Accelerator Pipe'!F52</f>
        <v>10031021.024263676</v>
      </c>
      <c r="C24" s="9">
        <f>'Transition Accelerator Pipe'!G52</f>
        <v>836587.15342359059</v>
      </c>
      <c r="D24" s="9">
        <f>'Transition Accelerator Pipe'!I52</f>
        <v>305354.31099961052</v>
      </c>
      <c r="E24" s="13">
        <f>'Transition Accelerator Compress'!G109</f>
        <v>0.18026680545230736</v>
      </c>
      <c r="F24" s="13">
        <f t="shared" si="1"/>
        <v>0.18026680545230736</v>
      </c>
      <c r="G24" s="13">
        <f t="shared" si="2"/>
        <v>56335.036261055138</v>
      </c>
    </row>
    <row r="25" spans="1:7">
      <c r="A25" s="4">
        <f>'Transition Accelerator Pipe'!B53</f>
        <v>18</v>
      </c>
      <c r="B25" s="9">
        <f>'Transition Accelerator Pipe'!F53</f>
        <v>13465622.860945662</v>
      </c>
      <c r="C25" s="9">
        <f>'Transition Accelerator Pipe'!G53</f>
        <v>1123032.9466028684</v>
      </c>
      <c r="D25" s="9">
        <f>'Transition Accelerator Pipe'!I53</f>
        <v>409907.02551004698</v>
      </c>
      <c r="E25" s="13">
        <f>'Transition Accelerator Compress'!G110</f>
        <v>0.18012643912797924</v>
      </c>
      <c r="F25" s="13">
        <f t="shared" si="1"/>
        <v>0.18012643912797924</v>
      </c>
      <c r="G25" s="13">
        <f t="shared" si="2"/>
        <v>75167.744426984267</v>
      </c>
    </row>
    <row r="26" spans="1:7">
      <c r="A26" s="4">
        <f>'Transition Accelerator Pipe'!B54</f>
        <v>20</v>
      </c>
      <c r="B26" s="9">
        <f>'Transition Accelerator Pipe'!F54</f>
        <v>17523472.573424354</v>
      </c>
      <c r="C26" s="9">
        <f>'Transition Accelerator Pipe'!G54</f>
        <v>1461457.6126235912</v>
      </c>
      <c r="D26" s="9">
        <f>'Transition Accelerator Pipe'!I54</f>
        <v>533432.02860761073</v>
      </c>
      <c r="E26" s="13">
        <f>'Transition Accelerator Compress'!G111</f>
        <v>0.18012643912797921</v>
      </c>
      <c r="F26" s="13">
        <f t="shared" si="1"/>
        <v>0.18012643912797921</v>
      </c>
      <c r="G26" s="13">
        <f t="shared" si="2"/>
        <v>97417.863378221024</v>
      </c>
    </row>
    <row r="27" spans="1:7">
      <c r="A27" s="4">
        <f>'Transition Accelerator Pipe'!B55</f>
        <v>22</v>
      </c>
      <c r="B27" s="9">
        <f>'Transition Accelerator Pipe'!F55</f>
        <v>22238315.433666032</v>
      </c>
      <c r="C27" s="9">
        <f>'Transition Accelerator Pipe'!G55</f>
        <v>1854675.507167747</v>
      </c>
      <c r="D27" s="9">
        <f>'Transition Accelerator Pipe'!I55</f>
        <v>676956.5601162276</v>
      </c>
      <c r="E27" s="13">
        <f>'Transition Accelerator Compress'!G112</f>
        <v>0.18012643912797927</v>
      </c>
      <c r="F27" s="13">
        <f t="shared" si="1"/>
        <v>0.18012643912797927</v>
      </c>
      <c r="G27" s="13">
        <f t="shared" si="2"/>
        <v>123270.42616637965</v>
      </c>
    </row>
    <row r="28" spans="1:7">
      <c r="A28" s="4">
        <f>'Transition Accelerator Pipe'!B56</f>
        <v>24</v>
      </c>
      <c r="B28" s="9">
        <f>'Transition Accelerator Pipe'!F56</f>
        <v>27642243.49714832</v>
      </c>
      <c r="C28" s="9">
        <f>'Transition Accelerator Pipe'!G56</f>
        <v>2305363.1076621697</v>
      </c>
      <c r="D28" s="9">
        <f>'Transition Accelerator Pipe'!I56</f>
        <v>841457.53429669188</v>
      </c>
      <c r="E28" s="13">
        <f>'Transition Accelerator Compress'!G113</f>
        <v>0.18012643912797924</v>
      </c>
      <c r="F28" s="13">
        <f t="shared" si="1"/>
        <v>0.18012643912797924</v>
      </c>
      <c r="G28" s="13">
        <f t="shared" si="2"/>
        <v>152901.40087859033</v>
      </c>
    </row>
    <row r="29" spans="1:7">
      <c r="A29" s="4">
        <f>'Transition Accelerator Pipe'!B57</f>
        <v>26</v>
      </c>
      <c r="B29" s="9">
        <f>'Transition Accelerator Pipe'!F57</f>
        <v>33765917.416143112</v>
      </c>
      <c r="C29" s="9">
        <f>'Transition Accelerator Pipe'!G57</f>
        <v>2816077.5125063355</v>
      </c>
      <c r="D29" s="9">
        <f>'Transition Accelerator Pipe'!I57</f>
        <v>1027868.2920648124</v>
      </c>
      <c r="E29" s="13">
        <f>'Transition Accelerator Compress'!G114</f>
        <v>0.18012643912797927</v>
      </c>
      <c r="F29" s="13">
        <f t="shared" si="1"/>
        <v>0.18012643912797927</v>
      </c>
      <c r="G29" s="13">
        <f t="shared" si="2"/>
        <v>186478.90689051017</v>
      </c>
    </row>
    <row r="30" spans="1:7">
      <c r="A30" s="4">
        <f>'Transition Accelerator Pipe'!B58</f>
        <v>28</v>
      </c>
      <c r="B30" s="9">
        <f>'Transition Accelerator Pipe'!F58</f>
        <v>40638742.633963786</v>
      </c>
      <c r="C30" s="9">
        <f>'Transition Accelerator Pipe'!G58</f>
        <v>3389271.13567258</v>
      </c>
      <c r="D30" s="9">
        <f>'Transition Accelerator Pipe'!I58</f>
        <v>1237083.9645204917</v>
      </c>
      <c r="E30" s="13">
        <f>'Transition Accelerator Compress'!G115</f>
        <v>0.18012643912797929</v>
      </c>
      <c r="F30" s="13">
        <f t="shared" si="1"/>
        <v>0.18012643912797929</v>
      </c>
      <c r="G30" s="13">
        <f t="shared" si="2"/>
        <v>224164.18097971735</v>
      </c>
    </row>
    <row r="31" spans="1:7">
      <c r="A31" s="4">
        <f>'Transition Accelerator Pipe'!B59</f>
        <v>30</v>
      </c>
      <c r="B31" s="9">
        <f>'Transition Accelerator Pipe'!F59</f>
        <v>48289012.117363468</v>
      </c>
      <c r="C31" s="9">
        <f>'Transition Accelerator Pipe'!G59</f>
        <v>4027303.6105881133</v>
      </c>
      <c r="D31" s="9">
        <f>'Transition Accelerator Pipe'!I59</f>
        <v>1469965.8178646616</v>
      </c>
      <c r="E31" s="13">
        <f>'Transition Accelerator Compress'!G116</f>
        <v>0.18012643912797927</v>
      </c>
      <c r="F31" s="13">
        <f t="shared" si="1"/>
        <v>0.18012643912797927</v>
      </c>
      <c r="G31" s="13">
        <f t="shared" si="2"/>
        <v>266112.35996012698</v>
      </c>
    </row>
    <row r="32" spans="1:7">
      <c r="A32" s="4">
        <f>'Transition Accelerator Pipe'!B60</f>
        <v>32</v>
      </c>
      <c r="B32" s="9">
        <f>'Transition Accelerator Pipe'!F60</f>
        <v>56744023.907853439</v>
      </c>
      <c r="C32" s="9">
        <f>'Transition Accelerator Pipe'!G60</f>
        <v>4732451.5939149773</v>
      </c>
      <c r="D32" s="9">
        <f>'Transition Accelerator Pipe'!I60</f>
        <v>1727344.8317789666</v>
      </c>
      <c r="E32" s="13">
        <f>'Transition Accelerator Compress'!G117</f>
        <v>0.18012643912797929</v>
      </c>
      <c r="F32" s="13">
        <f t="shared" si="1"/>
        <v>0.18012643912797929</v>
      </c>
      <c r="G32" s="13">
        <f t="shared" si="2"/>
        <v>312473.12524278136</v>
      </c>
    </row>
    <row r="35" spans="1:10" ht="15">
      <c r="A35" s="59" t="s">
        <v>267</v>
      </c>
      <c r="B35" s="59"/>
      <c r="C35" s="59"/>
      <c r="D35" s="59"/>
      <c r="E35" s="59"/>
      <c r="F35" s="59"/>
      <c r="G35" s="59"/>
      <c r="H35" s="59"/>
      <c r="I35" s="59"/>
      <c r="J35" s="59"/>
    </row>
    <row r="36" spans="1:10" ht="15">
      <c r="A36" s="3" t="s">
        <v>171</v>
      </c>
      <c r="B36" s="3" t="s">
        <v>111</v>
      </c>
      <c r="C36" s="3" t="s">
        <v>173</v>
      </c>
      <c r="D36" s="3" t="s">
        <v>175</v>
      </c>
      <c r="E36" s="3" t="s">
        <v>1051</v>
      </c>
      <c r="F36" s="3" t="s">
        <v>1050</v>
      </c>
      <c r="G36" s="3" t="s">
        <v>268</v>
      </c>
      <c r="H36" s="3" t="s">
        <v>269</v>
      </c>
      <c r="I36" s="3" t="s">
        <v>196</v>
      </c>
      <c r="J36" s="3" t="s">
        <v>851</v>
      </c>
    </row>
    <row r="37" spans="1:10">
      <c r="A37" s="4">
        <f>'Transition Accelerator Pipe'!B48</f>
        <v>8</v>
      </c>
      <c r="B37" s="9">
        <f>'Transition Accelerator Pipe'!F48</f>
        <v>1773250.7471204193</v>
      </c>
      <c r="C37" s="9">
        <f>'Transition Accelerator Pipe'!G48</f>
        <v>147889.11230984298</v>
      </c>
      <c r="D37" s="9">
        <f>'Transition Accelerator Pipe'!I48</f>
        <v>53979.525993092684</v>
      </c>
      <c r="E37" s="13">
        <f>'Transition Accelerator Pipe'!I82</f>
        <v>5.413578902553879E-2</v>
      </c>
      <c r="F37" s="11">
        <f>'Transition Accelerator Compress'!I139</f>
        <v>1.7798067624834669E-3</v>
      </c>
      <c r="G37" s="13">
        <f>'Transition Accelerator Pipe'!J99</f>
        <v>0.65948479189882947</v>
      </c>
      <c r="H37" s="11">
        <f>'Transition Accelerator Compress'!J122</f>
        <v>2.8184934688085066E-2</v>
      </c>
      <c r="I37" s="13">
        <f>SUM(E37:H37)</f>
        <v>0.7435853223749368</v>
      </c>
      <c r="J37" s="13">
        <f>I37*D37</f>
        <v>40138.383237220107</v>
      </c>
    </row>
    <row r="38" spans="1:10">
      <c r="A38" s="4">
        <f>'Transition Accelerator Pipe'!B49</f>
        <v>10</v>
      </c>
      <c r="B38" s="9">
        <f>'Transition Accelerator Pipe'!F49</f>
        <v>3097741.5716512068</v>
      </c>
      <c r="C38" s="9">
        <f>'Transition Accelerator Pipe'!G49</f>
        <v>258351.64707571064</v>
      </c>
      <c r="D38" s="9">
        <f>'Transition Accelerator Pipe'!I49</f>
        <v>94298.351182634389</v>
      </c>
      <c r="E38" s="13">
        <f>'Transition Accelerator Pipe'!I83</f>
        <v>3.5626913274183269E-2</v>
      </c>
      <c r="F38" s="11">
        <f>'Transition Accelerator Compress'!I140</f>
        <v>1.1712957788772584E-3</v>
      </c>
      <c r="G38" s="13">
        <f>'Transition Accelerator Pipe'!J100</f>
        <v>0.43933434541527427</v>
      </c>
      <c r="H38" s="11">
        <f>'Transition Accelerator Compress'!J123</f>
        <v>2.526537190765589E-2</v>
      </c>
      <c r="I38" s="13">
        <f t="shared" ref="I38:I49" si="3">SUM(E38:H38)</f>
        <v>0.50139792637599068</v>
      </c>
      <c r="J38" s="13">
        <f t="shared" ref="J38:J49" si="4">J37+I38*(D38-D37)</f>
        <v>60354.158581172378</v>
      </c>
    </row>
    <row r="39" spans="1:10">
      <c r="A39" s="4">
        <f>'Transition Accelerator Pipe'!B50</f>
        <v>12</v>
      </c>
      <c r="B39" s="9">
        <f>'Transition Accelerator Pipe'!F50</f>
        <v>4886504.4560108334</v>
      </c>
      <c r="C39" s="9">
        <f>'Transition Accelerator Pipe'!G50</f>
        <v>407534.47163130349</v>
      </c>
      <c r="D39" s="9">
        <f>'Transition Accelerator Pipe'!I50</f>
        <v>148750.08214542575</v>
      </c>
      <c r="E39" s="13">
        <f>'Transition Accelerator Pipe'!I84</f>
        <v>2.531123641213193E-2</v>
      </c>
      <c r="F39" s="11">
        <f>'Transition Accelerator Compress'!I141</f>
        <v>8.3215023820707714E-4</v>
      </c>
      <c r="G39" s="13">
        <f>'Transition Accelerator Pipe'!J101</f>
        <v>0.31891635507226673</v>
      </c>
      <c r="H39" s="11">
        <f>'Transition Accelerator Compress'!J124</f>
        <v>2.3111363709569926E-2</v>
      </c>
      <c r="I39" s="13">
        <f t="shared" si="3"/>
        <v>0.36817110543217568</v>
      </c>
      <c r="J39" s="13">
        <f t="shared" si="4"/>
        <v>80401.712562438697</v>
      </c>
    </row>
    <row r="40" spans="1:10">
      <c r="A40" s="4">
        <f>'Transition Accelerator Pipe'!B51</f>
        <v>14</v>
      </c>
      <c r="B40" s="9">
        <f>'Transition Accelerator Pipe'!F51</f>
        <v>7183982.6238426678</v>
      </c>
      <c r="C40" s="9">
        <f>'Transition Accelerator Pipe'!G51</f>
        <v>599144.15082847851</v>
      </c>
      <c r="D40" s="9">
        <f>'Transition Accelerator Pipe'!I51</f>
        <v>218687.61505239466</v>
      </c>
      <c r="E40" s="13">
        <f>'Transition Accelerator Pipe'!I85</f>
        <v>1.8957808399913938E-2</v>
      </c>
      <c r="F40" s="11">
        <f>'Transition Accelerator Compress'!I142</f>
        <v>6.2327041314785532E-4</v>
      </c>
      <c r="G40" s="13">
        <f>'Transition Accelerator Pipe'!J102</f>
        <v>0.24530299731404054</v>
      </c>
      <c r="H40" s="11">
        <f>'Transition Accelerator Compress'!J125</f>
        <v>2.1437548622272935E-2</v>
      </c>
      <c r="I40" s="13">
        <f t="shared" si="3"/>
        <v>0.28632162474937528</v>
      </c>
      <c r="J40" s="13">
        <f t="shared" si="4"/>
        <v>100426.34061532494</v>
      </c>
    </row>
    <row r="41" spans="1:10">
      <c r="A41" s="4">
        <f>'Transition Accelerator Pipe'!B52</f>
        <v>16</v>
      </c>
      <c r="B41" s="9">
        <f>'Transition Accelerator Pipe'!F52</f>
        <v>10031021.024263676</v>
      </c>
      <c r="C41" s="9">
        <f>'Transition Accelerator Pipe'!G52</f>
        <v>836587.15342359059</v>
      </c>
      <c r="D41" s="9">
        <f>'Transition Accelerator Pipe'!I52</f>
        <v>305354.31099961052</v>
      </c>
      <c r="E41" s="13">
        <f>'Transition Accelerator Pipe'!I86</f>
        <v>1.475887413657127E-2</v>
      </c>
      <c r="F41" s="11">
        <f>'Transition Accelerator Compress'!I143</f>
        <v>4.8522325928453483E-4</v>
      </c>
      <c r="G41" s="13">
        <f>'Transition Accelerator Pipe'!J103</f>
        <v>0.19670108459078095</v>
      </c>
      <c r="H41" s="11">
        <f>'Transition Accelerator Compress'!J126</f>
        <v>2.008826881326593E-2</v>
      </c>
      <c r="I41" s="13">
        <f t="shared" si="3"/>
        <v>0.23203345079990267</v>
      </c>
      <c r="J41" s="13">
        <f t="shared" si="4"/>
        <v>120535.91314538338</v>
      </c>
    </row>
    <row r="42" spans="1:10">
      <c r="A42" s="4">
        <f>'Transition Accelerator Pipe'!B53</f>
        <v>18</v>
      </c>
      <c r="B42" s="9">
        <f>'Transition Accelerator Pipe'!F53</f>
        <v>13465622.860945662</v>
      </c>
      <c r="C42" s="9">
        <f>'Transition Accelerator Pipe'!G53</f>
        <v>1123032.9466028684</v>
      </c>
      <c r="D42" s="9">
        <f>'Transition Accelerator Pipe'!I53</f>
        <v>409907.02551004698</v>
      </c>
      <c r="E42" s="13">
        <f>'Transition Accelerator Pipe'!I87</f>
        <v>1.1834291145338259E-2</v>
      </c>
      <c r="F42" s="11">
        <f>'Transition Accelerator Compress'!I144</f>
        <v>3.8907258560016208E-4</v>
      </c>
      <c r="G42" s="13">
        <f>'Transition Accelerator Pipe'!J104</f>
        <v>0.16275687204834219</v>
      </c>
      <c r="H42" s="11">
        <f>'Transition Accelerator Compress'!J127</f>
        <v>1.911473588862677E-2</v>
      </c>
      <c r="I42" s="13">
        <f t="shared" si="3"/>
        <v>0.1940949716679074</v>
      </c>
      <c r="J42" s="13">
        <f t="shared" si="4"/>
        <v>140829.06930608937</v>
      </c>
    </row>
    <row r="43" spans="1:10">
      <c r="A43" s="4">
        <f>'Transition Accelerator Pipe'!B54</f>
        <v>20</v>
      </c>
      <c r="B43" s="9">
        <f>'Transition Accelerator Pipe'!F54</f>
        <v>17523472.573424354</v>
      </c>
      <c r="C43" s="9">
        <f>'Transition Accelerator Pipe'!G54</f>
        <v>1461457.6126235912</v>
      </c>
      <c r="D43" s="9">
        <f>'Transition Accelerator Pipe'!I54</f>
        <v>533432.02860761073</v>
      </c>
      <c r="E43" s="13">
        <f>'Transition Accelerator Pipe'!I88</f>
        <v>9.7128561041228342E-3</v>
      </c>
      <c r="F43" s="11">
        <f>'Transition Accelerator Compress'!I145</f>
        <v>3.1932677602595621E-4</v>
      </c>
      <c r="G43" s="13">
        <f>'Transition Accelerator Pipe'!J105</f>
        <v>0.13801700343028728</v>
      </c>
      <c r="H43" s="11">
        <f>'Transition Accelerator Compress'!J128</f>
        <v>1.8294550624878128E-2</v>
      </c>
      <c r="I43" s="13">
        <f t="shared" si="3"/>
        <v>0.16634373693531418</v>
      </c>
      <c r="J43" s="13">
        <f t="shared" si="4"/>
        <v>161376.67992628439</v>
      </c>
    </row>
    <row r="44" spans="1:10">
      <c r="A44" s="4">
        <f>'Transition Accelerator Pipe'!B55</f>
        <v>22</v>
      </c>
      <c r="B44" s="9">
        <f>'Transition Accelerator Pipe'!F55</f>
        <v>22238315.433666032</v>
      </c>
      <c r="C44" s="9">
        <f>'Transition Accelerator Pipe'!G55</f>
        <v>1854675.507167747</v>
      </c>
      <c r="D44" s="9">
        <f>'Transition Accelerator Pipe'!I55</f>
        <v>676956.5601162276</v>
      </c>
      <c r="E44" s="13">
        <f>'Transition Accelerator Pipe'!I89</f>
        <v>8.1233594371925497E-3</v>
      </c>
      <c r="F44" s="11">
        <f>'Transition Accelerator Compress'!I146</f>
        <v>2.6706935135975513E-4</v>
      </c>
      <c r="G44" s="13">
        <f>'Transition Accelerator Pipe'!J106</f>
        <v>0.11937618605010245</v>
      </c>
      <c r="H44" s="11">
        <f>'Transition Accelerator Compress'!J129</f>
        <v>1.7582962142695942E-2</v>
      </c>
      <c r="I44" s="13">
        <f t="shared" si="3"/>
        <v>0.1453495769813507</v>
      </c>
      <c r="J44" s="13">
        <f t="shared" si="4"/>
        <v>182237.9098675084</v>
      </c>
    </row>
    <row r="45" spans="1:10">
      <c r="A45" s="4">
        <f>'Transition Accelerator Pipe'!B56</f>
        <v>24</v>
      </c>
      <c r="B45" s="9">
        <f>'Transition Accelerator Pipe'!F56</f>
        <v>27642243.49714832</v>
      </c>
      <c r="C45" s="9">
        <f>'Transition Accelerator Pipe'!G56</f>
        <v>2305363.1076621697</v>
      </c>
      <c r="D45" s="9">
        <f>'Transition Accelerator Pipe'!I56</f>
        <v>841457.53429669188</v>
      </c>
      <c r="E45" s="13">
        <f>'Transition Accelerator Pipe'!I90</f>
        <v>6.9005247576870796E-3</v>
      </c>
      <c r="F45" s="11">
        <f>'Transition Accelerator Compress'!I147</f>
        <v>2.2686656737601357E-4</v>
      </c>
      <c r="G45" s="13">
        <f>'Transition Accelerator Pipe'!J107</f>
        <v>0.10495484504848551</v>
      </c>
      <c r="H45" s="11">
        <f>'Transition Accelerator Compress'!J130</f>
        <v>1.695752837987876E-2</v>
      </c>
      <c r="I45" s="13">
        <f t="shared" si="3"/>
        <v>0.12903976475342738</v>
      </c>
      <c r="J45" s="13">
        <f t="shared" si="4"/>
        <v>203465.07687746512</v>
      </c>
    </row>
    <row r="46" spans="1:10">
      <c r="A46" s="4">
        <f>'Transition Accelerator Pipe'!B57</f>
        <v>26</v>
      </c>
      <c r="B46" s="9">
        <f>'Transition Accelerator Pipe'!F57</f>
        <v>33765917.416143112</v>
      </c>
      <c r="C46" s="9">
        <f>'Transition Accelerator Pipe'!G57</f>
        <v>2816077.5125063355</v>
      </c>
      <c r="D46" s="9">
        <f>'Transition Accelerator Pipe'!I57</f>
        <v>1027868.2920648124</v>
      </c>
      <c r="E46" s="13">
        <f>'Transition Accelerator Pipe'!I91</f>
        <v>5.9388611159027164E-3</v>
      </c>
      <c r="F46" s="11">
        <f>'Transition Accelerator Compress'!I148</f>
        <v>1.9525022846803453E-4</v>
      </c>
      <c r="G46" s="13">
        <f>'Transition Accelerator Pipe'!J108</f>
        <v>9.3558102056615897E-2</v>
      </c>
      <c r="H46" s="11">
        <f>'Transition Accelerator Compress'!J131</f>
        <v>1.6401849622921176E-2</v>
      </c>
      <c r="I46" s="13">
        <f t="shared" si="3"/>
        <v>0.11609406302390782</v>
      </c>
      <c r="J46" s="13">
        <f t="shared" si="4"/>
        <v>225106.25913813172</v>
      </c>
    </row>
    <row r="47" spans="1:10">
      <c r="A47" s="4">
        <f>'Transition Accelerator Pipe'!B58</f>
        <v>28</v>
      </c>
      <c r="B47" s="9">
        <f>'Transition Accelerator Pipe'!F58</f>
        <v>40638742.633963786</v>
      </c>
      <c r="C47" s="9">
        <f>'Transition Accelerator Pipe'!G58</f>
        <v>3389271.13567258</v>
      </c>
      <c r="D47" s="9">
        <f>'Transition Accelerator Pipe'!I58</f>
        <v>1237083.9645204917</v>
      </c>
      <c r="E47" s="13">
        <f>'Transition Accelerator Pipe'!I92</f>
        <v>5.1684091636231338E-3</v>
      </c>
      <c r="F47" s="11">
        <f>'Transition Accelerator Compress'!I149</f>
        <v>1.6992030126980167E-4</v>
      </c>
      <c r="G47" s="13">
        <f>'Transition Accelerator Pipe'!J109</f>
        <v>8.4395189118850758E-2</v>
      </c>
      <c r="H47" s="11">
        <f>'Transition Accelerator Compress'!J132</f>
        <v>1.5903618579466455E-2</v>
      </c>
      <c r="I47" s="13">
        <f t="shared" si="3"/>
        <v>0.10563713716321015</v>
      </c>
      <c r="J47" s="13">
        <f t="shared" si="4"/>
        <v>247207.20382602556</v>
      </c>
    </row>
    <row r="48" spans="1:10">
      <c r="A48" s="4">
        <f>'Transition Accelerator Pipe'!B59</f>
        <v>30</v>
      </c>
      <c r="B48" s="9">
        <f>'Transition Accelerator Pipe'!F59</f>
        <v>48289012.117363468</v>
      </c>
      <c r="C48" s="9">
        <f>'Transition Accelerator Pipe'!G59</f>
        <v>4027303.6105881133</v>
      </c>
      <c r="D48" s="9">
        <f>'Transition Accelerator Pipe'!I59</f>
        <v>1469965.8178646616</v>
      </c>
      <c r="E48" s="13">
        <f>'Transition Accelerator Pipe'!I93</f>
        <v>4.5412545289123521E-3</v>
      </c>
      <c r="F48" s="11">
        <f>'Transition Accelerator Compress'!I150</f>
        <v>1.493015187587623E-4</v>
      </c>
      <c r="G48" s="13">
        <f>'Transition Accelerator Pipe'!J110</f>
        <v>7.6924980252710329E-2</v>
      </c>
      <c r="H48" s="11">
        <f>'Transition Accelerator Compress'!J133</f>
        <v>1.5453389805901921E-2</v>
      </c>
      <c r="I48" s="13">
        <f t="shared" si="3"/>
        <v>9.7068926106283371E-2</v>
      </c>
      <c r="J48" s="13">
        <f t="shared" si="4"/>
        <v>269812.7952397851</v>
      </c>
    </row>
    <row r="49" spans="1:10">
      <c r="A49" s="4">
        <f>'Transition Accelerator Pipe'!B60</f>
        <v>32</v>
      </c>
      <c r="B49" s="9">
        <f>'Transition Accelerator Pipe'!F60</f>
        <v>56744023.907853439</v>
      </c>
      <c r="C49" s="9">
        <f>'Transition Accelerator Pipe'!G60</f>
        <v>4732451.5939149773</v>
      </c>
      <c r="D49" s="9">
        <f>'Transition Accelerator Pipe'!I60</f>
        <v>1727344.8317789666</v>
      </c>
      <c r="E49" s="13">
        <f>'Transition Accelerator Pipe'!I94</f>
        <v>4.0236665928410596E-3</v>
      </c>
      <c r="F49" s="11">
        <f>'Transition Accelerator Compress'!I151</f>
        <v>1.3228492907970608E-4</v>
      </c>
      <c r="G49" s="13">
        <f>'Transition Accelerator Pipe'!J111</f>
        <v>7.0766623346286125E-2</v>
      </c>
      <c r="H49" s="11">
        <f>'Transition Accelerator Compress'!J134</f>
        <v>1.5043774103386396E-2</v>
      </c>
      <c r="I49" s="13">
        <f t="shared" si="3"/>
        <v>8.996634897159328E-2</v>
      </c>
      <c r="J49" s="13">
        <f t="shared" si="4"/>
        <v>292968.24542356405</v>
      </c>
    </row>
  </sheetData>
  <mergeCells count="3">
    <mergeCell ref="A1:G1"/>
    <mergeCell ref="A18:G18"/>
    <mergeCell ref="A35:J3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7B3A1-DC37-4638-994B-55A8EB0B270B}">
  <dimension ref="A1:C14"/>
  <sheetViews>
    <sheetView workbookViewId="0">
      <selection sqref="A1:C1"/>
    </sheetView>
  </sheetViews>
  <sheetFormatPr defaultRowHeight="14.25"/>
  <cols>
    <col min="1" max="1" width="38.125" bestFit="1" customWidth="1"/>
    <col min="2" max="2" width="25.875" bestFit="1" customWidth="1"/>
    <col min="3" max="3" width="28.25" bestFit="1" customWidth="1"/>
  </cols>
  <sheetData>
    <row r="1" spans="1:3" ht="15">
      <c r="A1" s="3" t="s">
        <v>171</v>
      </c>
      <c r="B1" s="3" t="s">
        <v>175</v>
      </c>
      <c r="C1" s="3" t="s">
        <v>263</v>
      </c>
    </row>
    <row r="2" spans="1:3">
      <c r="A2" s="4">
        <f>'Normalized Transmission Costs'!A3</f>
        <v>8</v>
      </c>
      <c r="B2" s="9">
        <f>'Normalized Transmission Costs'!D3</f>
        <v>53979.525993092684</v>
      </c>
      <c r="C2" s="13">
        <f>'Normalized Transmission Costs'!G3</f>
        <v>1394121.0020348802</v>
      </c>
    </row>
    <row r="3" spans="1:3">
      <c r="A3" s="4">
        <f>'Normalized Transmission Costs'!A4</f>
        <v>10</v>
      </c>
      <c r="B3" s="9">
        <f>'Normalized Transmission Costs'!D4</f>
        <v>94298.351182634389</v>
      </c>
      <c r="C3" s="13">
        <f>'Normalized Transmission Costs'!G4</f>
        <v>1632461.1119545461</v>
      </c>
    </row>
    <row r="4" spans="1:3">
      <c r="A4" s="4">
        <f>'Normalized Transmission Costs'!A5</f>
        <v>12</v>
      </c>
      <c r="B4" s="9">
        <f>'Normalized Transmission Costs'!D5</f>
        <v>148750.08214542575</v>
      </c>
      <c r="C4" s="13">
        <f>'Normalized Transmission Costs'!G5</f>
        <v>1880928.1988608202</v>
      </c>
    </row>
    <row r="5" spans="1:3">
      <c r="A5" s="4">
        <f>'Normalized Transmission Costs'!A6</f>
        <v>14</v>
      </c>
      <c r="B5" s="9">
        <f>'Normalized Transmission Costs'!D6</f>
        <v>218687.61505239466</v>
      </c>
      <c r="C5" s="13">
        <f>'Normalized Transmission Costs'!G6</f>
        <v>2140113.278825121</v>
      </c>
    </row>
    <row r="6" spans="1:3">
      <c r="A6" s="4">
        <f>'Normalized Transmission Costs'!A7</f>
        <v>16</v>
      </c>
      <c r="B6" s="9">
        <f>'Normalized Transmission Costs'!D7</f>
        <v>305354.31099961052</v>
      </c>
      <c r="C6" s="13">
        <f>'Normalized Transmission Costs'!G7</f>
        <v>2410693.5688478118</v>
      </c>
    </row>
    <row r="7" spans="1:3">
      <c r="A7" s="4">
        <f>'Normalized Transmission Costs'!A8</f>
        <v>18</v>
      </c>
      <c r="B7" s="9">
        <f>'Normalized Transmission Costs'!D8</f>
        <v>409907.02551004698</v>
      </c>
      <c r="C7" s="13">
        <f>'Normalized Transmission Costs'!G8</f>
        <v>2694415.6250198083</v>
      </c>
    </row>
    <row r="8" spans="1:3">
      <c r="A8" s="4">
        <f>'Normalized Transmission Costs'!A9</f>
        <v>20</v>
      </c>
      <c r="B8" s="9">
        <f>'Normalized Transmission Costs'!D9</f>
        <v>533432.02860761073</v>
      </c>
      <c r="C8" s="13">
        <f>'Normalized Transmission Costs'!G9</f>
        <v>2991623.8827310796</v>
      </c>
    </row>
    <row r="9" spans="1:3">
      <c r="A9" s="4">
        <f>'Normalized Transmission Costs'!A10</f>
        <v>22</v>
      </c>
      <c r="B9" s="9">
        <f>'Normalized Transmission Costs'!D10</f>
        <v>676956.5601162276</v>
      </c>
      <c r="C9" s="13">
        <f>'Normalized Transmission Costs'!G10</f>
        <v>3303302.3134632451</v>
      </c>
    </row>
    <row r="10" spans="1:3">
      <c r="A10" s="4">
        <f>'Normalized Transmission Costs'!A11</f>
        <v>24</v>
      </c>
      <c r="B10" s="9">
        <f>'Normalized Transmission Costs'!D11</f>
        <v>841457.53429669188</v>
      </c>
      <c r="C10" s="13">
        <f>'Normalized Transmission Costs'!G11</f>
        <v>3630651.193708803</v>
      </c>
    </row>
    <row r="11" spans="1:3">
      <c r="A11" s="4">
        <f>'Normalized Transmission Costs'!A12</f>
        <v>26</v>
      </c>
      <c r="B11" s="9">
        <f>'Normalized Transmission Costs'!D12</f>
        <v>1027868.2920648124</v>
      </c>
      <c r="C11" s="13">
        <f>'Normalized Transmission Costs'!G12</f>
        <v>3975045.5680197491</v>
      </c>
    </row>
    <row r="12" spans="1:3">
      <c r="A12" s="4">
        <f>'Normalized Transmission Costs'!A13</f>
        <v>28</v>
      </c>
      <c r="B12" s="9">
        <f>'Normalized Transmission Costs'!D13</f>
        <v>1237083.9645204917</v>
      </c>
      <c r="C12" s="13">
        <f>'Normalized Transmission Costs'!G13</f>
        <v>4338062.3853865629</v>
      </c>
    </row>
    <row r="13" spans="1:3">
      <c r="A13" s="4">
        <f>'Normalized Transmission Costs'!A14</f>
        <v>30</v>
      </c>
      <c r="B13" s="9">
        <f>'Normalized Transmission Costs'!D14</f>
        <v>1469965.8178646616</v>
      </c>
      <c r="C13" s="13">
        <f>'Normalized Transmission Costs'!G14</f>
        <v>4721511.605674943</v>
      </c>
    </row>
    <row r="14" spans="1:3">
      <c r="A14" s="4">
        <f>'Normalized Transmission Costs'!A15</f>
        <v>32</v>
      </c>
      <c r="B14" s="9">
        <f>'Normalized Transmission Costs'!D15</f>
        <v>1727344.8317789666</v>
      </c>
      <c r="C14" s="13">
        <f>'Normalized Transmission Costs'!G15</f>
        <v>5127471.9096628781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C92B-04FD-470C-9C48-C568890C9D99}">
  <dimension ref="A1:C14"/>
  <sheetViews>
    <sheetView workbookViewId="0">
      <selection sqref="A1:C1"/>
    </sheetView>
  </sheetViews>
  <sheetFormatPr defaultRowHeight="14.25"/>
  <cols>
    <col min="1" max="1" width="33.25" bestFit="1" customWidth="1"/>
    <col min="2" max="2" width="25.875" bestFit="1" customWidth="1"/>
    <col min="3" max="3" width="34.625" bestFit="1" customWidth="1"/>
  </cols>
  <sheetData>
    <row r="1" spans="1:3" ht="15">
      <c r="A1" s="3" t="s">
        <v>171</v>
      </c>
      <c r="B1" s="3" t="s">
        <v>175</v>
      </c>
      <c r="C1" s="3" t="s">
        <v>850</v>
      </c>
    </row>
    <row r="2" spans="1:3">
      <c r="A2" s="4">
        <f>'Normalized Transmission Costs'!A20</f>
        <v>8</v>
      </c>
      <c r="B2" s="9">
        <f>'Normalized Transmission Costs'!D20</f>
        <v>53979.525993092684</v>
      </c>
      <c r="C2" s="13">
        <f>'Normalized Transmission Costs'!G20</f>
        <v>10333.90698512792</v>
      </c>
    </row>
    <row r="3" spans="1:3">
      <c r="A3" s="4">
        <f>'Normalized Transmission Costs'!A21</f>
        <v>10</v>
      </c>
      <c r="B3" s="9">
        <f>'Normalized Transmission Costs'!D21</f>
        <v>94298.351182634389</v>
      </c>
      <c r="C3" s="13">
        <f>'Normalized Transmission Costs'!G21</f>
        <v>17901.573987524062</v>
      </c>
    </row>
    <row r="4" spans="1:3">
      <c r="A4" s="4">
        <f>'Normalized Transmission Costs'!A22</f>
        <v>12</v>
      </c>
      <c r="B4" s="9">
        <f>'Normalized Transmission Costs'!D22</f>
        <v>148750.08214542575</v>
      </c>
      <c r="C4" s="13">
        <f>'Normalized Transmission Costs'!G22</f>
        <v>27961.113404241689</v>
      </c>
    </row>
    <row r="5" spans="1:3">
      <c r="A5" s="4">
        <f>'Normalized Transmission Costs'!A23</f>
        <v>14</v>
      </c>
      <c r="B5" s="9">
        <f>'Normalized Transmission Costs'!D23</f>
        <v>218687.61505239466</v>
      </c>
      <c r="C5" s="13">
        <f>'Normalized Transmission Costs'!G23</f>
        <v>40711.907843544104</v>
      </c>
    </row>
    <row r="6" spans="1:3">
      <c r="A6" s="4">
        <f>'Normalized Transmission Costs'!A24</f>
        <v>16</v>
      </c>
      <c r="B6" s="9">
        <f>'Normalized Transmission Costs'!D24</f>
        <v>305354.31099961052</v>
      </c>
      <c r="C6" s="13">
        <f>'Normalized Transmission Costs'!G24</f>
        <v>56335.036261055138</v>
      </c>
    </row>
    <row r="7" spans="1:3">
      <c r="A7" s="4">
        <f>'Normalized Transmission Costs'!A25</f>
        <v>18</v>
      </c>
      <c r="B7" s="9">
        <f>'Normalized Transmission Costs'!D25</f>
        <v>409907.02551004698</v>
      </c>
      <c r="C7" s="13">
        <f>'Normalized Transmission Costs'!G25</f>
        <v>75167.744426984267</v>
      </c>
    </row>
    <row r="8" spans="1:3">
      <c r="A8" s="4">
        <f>'Normalized Transmission Costs'!A26</f>
        <v>20</v>
      </c>
      <c r="B8" s="9">
        <f>'Normalized Transmission Costs'!D26</f>
        <v>533432.02860761073</v>
      </c>
      <c r="C8" s="13">
        <f>'Normalized Transmission Costs'!G26</f>
        <v>97417.863378221024</v>
      </c>
    </row>
    <row r="9" spans="1:3">
      <c r="A9" s="4">
        <f>'Normalized Transmission Costs'!A27</f>
        <v>22</v>
      </c>
      <c r="B9" s="9">
        <f>'Normalized Transmission Costs'!D27</f>
        <v>676956.5601162276</v>
      </c>
      <c r="C9" s="13">
        <f>'Normalized Transmission Costs'!G27</f>
        <v>123270.42616637965</v>
      </c>
    </row>
    <row r="10" spans="1:3">
      <c r="A10" s="4">
        <f>'Normalized Transmission Costs'!A28</f>
        <v>24</v>
      </c>
      <c r="B10" s="9">
        <f>'Normalized Transmission Costs'!D28</f>
        <v>841457.53429669188</v>
      </c>
      <c r="C10" s="13">
        <f>'Normalized Transmission Costs'!G28</f>
        <v>152901.40087859033</v>
      </c>
    </row>
    <row r="11" spans="1:3">
      <c r="A11" s="4">
        <f>'Normalized Transmission Costs'!A29</f>
        <v>26</v>
      </c>
      <c r="B11" s="9">
        <f>'Normalized Transmission Costs'!D29</f>
        <v>1027868.2920648124</v>
      </c>
      <c r="C11" s="13">
        <f>'Normalized Transmission Costs'!G29</f>
        <v>186478.90689051017</v>
      </c>
    </row>
    <row r="12" spans="1:3">
      <c r="A12" s="4">
        <f>'Normalized Transmission Costs'!A30</f>
        <v>28</v>
      </c>
      <c r="B12" s="9">
        <f>'Normalized Transmission Costs'!D30</f>
        <v>1237083.9645204917</v>
      </c>
      <c r="C12" s="13">
        <f>'Normalized Transmission Costs'!G30</f>
        <v>224164.18097971735</v>
      </c>
    </row>
    <row r="13" spans="1:3">
      <c r="A13" s="4">
        <f>'Normalized Transmission Costs'!A31</f>
        <v>30</v>
      </c>
      <c r="B13" s="9">
        <f>'Normalized Transmission Costs'!D31</f>
        <v>1469965.8178646616</v>
      </c>
      <c r="C13" s="13">
        <f>'Normalized Transmission Costs'!G31</f>
        <v>266112.35996012698</v>
      </c>
    </row>
    <row r="14" spans="1:3">
      <c r="A14" s="4">
        <f>'Normalized Transmission Costs'!A32</f>
        <v>32</v>
      </c>
      <c r="B14" s="9">
        <f>'Normalized Transmission Costs'!D32</f>
        <v>1727344.8317789666</v>
      </c>
      <c r="C14" s="13">
        <f>'Normalized Transmission Costs'!G32</f>
        <v>312473.12524278136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CF686-F80F-4AFE-ABE5-12F0EA6D777D}">
  <dimension ref="A1:C14"/>
  <sheetViews>
    <sheetView workbookViewId="0">
      <selection activeCell="C2" sqref="C2"/>
    </sheetView>
  </sheetViews>
  <sheetFormatPr defaultRowHeight="14.25"/>
  <cols>
    <col min="1" max="1" width="33.25" bestFit="1" customWidth="1"/>
    <col min="2" max="2" width="25.875" bestFit="1" customWidth="1"/>
    <col min="3" max="3" width="57.375" bestFit="1" customWidth="1"/>
  </cols>
  <sheetData>
    <row r="1" spans="1:3" ht="15">
      <c r="A1" s="3" t="s">
        <v>171</v>
      </c>
      <c r="B1" s="3" t="s">
        <v>175</v>
      </c>
      <c r="C1" s="3" t="s">
        <v>851</v>
      </c>
    </row>
    <row r="2" spans="1:3">
      <c r="A2" s="4">
        <f>'Normalized Transmission Costs'!A37</f>
        <v>8</v>
      </c>
      <c r="B2" s="9">
        <f>'Normalized Transmission Costs'!D37</f>
        <v>53979.525993092684</v>
      </c>
      <c r="C2" s="13">
        <f>'Normalized Transmission Costs'!J37</f>
        <v>40138.383237220107</v>
      </c>
    </row>
    <row r="3" spans="1:3">
      <c r="A3" s="4">
        <f>'Normalized Transmission Costs'!A38</f>
        <v>10</v>
      </c>
      <c r="B3" s="9">
        <f>'Normalized Transmission Costs'!D38</f>
        <v>94298.351182634389</v>
      </c>
      <c r="C3" s="13">
        <f>'Normalized Transmission Costs'!J38</f>
        <v>60354.158581172378</v>
      </c>
    </row>
    <row r="4" spans="1:3">
      <c r="A4" s="4">
        <f>'Normalized Transmission Costs'!A39</f>
        <v>12</v>
      </c>
      <c r="B4" s="9">
        <f>'Normalized Transmission Costs'!D39</f>
        <v>148750.08214542575</v>
      </c>
      <c r="C4" s="13">
        <f>'Normalized Transmission Costs'!J39</f>
        <v>80401.712562438697</v>
      </c>
    </row>
    <row r="5" spans="1:3">
      <c r="A5" s="4">
        <f>'Normalized Transmission Costs'!A40</f>
        <v>14</v>
      </c>
      <c r="B5" s="9">
        <f>'Normalized Transmission Costs'!D40</f>
        <v>218687.61505239466</v>
      </c>
      <c r="C5" s="13">
        <f>'Normalized Transmission Costs'!J40</f>
        <v>100426.34061532494</v>
      </c>
    </row>
    <row r="6" spans="1:3">
      <c r="A6" s="4">
        <f>'Normalized Transmission Costs'!A41</f>
        <v>16</v>
      </c>
      <c r="B6" s="9">
        <f>'Normalized Transmission Costs'!D41</f>
        <v>305354.31099961052</v>
      </c>
      <c r="C6" s="13">
        <f>'Normalized Transmission Costs'!J41</f>
        <v>120535.91314538338</v>
      </c>
    </row>
    <row r="7" spans="1:3">
      <c r="A7" s="4">
        <f>'Normalized Transmission Costs'!A42</f>
        <v>18</v>
      </c>
      <c r="B7" s="9">
        <f>'Normalized Transmission Costs'!D42</f>
        <v>409907.02551004698</v>
      </c>
      <c r="C7" s="13">
        <f>'Normalized Transmission Costs'!J42</f>
        <v>140829.06930608937</v>
      </c>
    </row>
    <row r="8" spans="1:3">
      <c r="A8" s="4">
        <f>'Normalized Transmission Costs'!A43</f>
        <v>20</v>
      </c>
      <c r="B8" s="9">
        <f>'Normalized Transmission Costs'!D43</f>
        <v>533432.02860761073</v>
      </c>
      <c r="C8" s="13">
        <f>'Normalized Transmission Costs'!J43</f>
        <v>161376.67992628439</v>
      </c>
    </row>
    <row r="9" spans="1:3">
      <c r="A9" s="4">
        <f>'Normalized Transmission Costs'!A44</f>
        <v>22</v>
      </c>
      <c r="B9" s="9">
        <f>'Normalized Transmission Costs'!D44</f>
        <v>676956.5601162276</v>
      </c>
      <c r="C9" s="13">
        <f>'Normalized Transmission Costs'!J44</f>
        <v>182237.9098675084</v>
      </c>
    </row>
    <row r="10" spans="1:3">
      <c r="A10" s="4">
        <f>'Normalized Transmission Costs'!A45</f>
        <v>24</v>
      </c>
      <c r="B10" s="9">
        <f>'Normalized Transmission Costs'!D45</f>
        <v>841457.53429669188</v>
      </c>
      <c r="C10" s="13">
        <f>'Normalized Transmission Costs'!J45</f>
        <v>203465.07687746512</v>
      </c>
    </row>
    <row r="11" spans="1:3">
      <c r="A11" s="4">
        <f>'Normalized Transmission Costs'!A46</f>
        <v>26</v>
      </c>
      <c r="B11" s="9">
        <f>'Normalized Transmission Costs'!D46</f>
        <v>1027868.2920648124</v>
      </c>
      <c r="C11" s="13">
        <f>'Normalized Transmission Costs'!J46</f>
        <v>225106.25913813172</v>
      </c>
    </row>
    <row r="12" spans="1:3">
      <c r="A12" s="4">
        <f>'Normalized Transmission Costs'!A47</f>
        <v>28</v>
      </c>
      <c r="B12" s="9">
        <f>'Normalized Transmission Costs'!D47</f>
        <v>1237083.9645204917</v>
      </c>
      <c r="C12" s="13">
        <f>'Normalized Transmission Costs'!J47</f>
        <v>247207.20382602556</v>
      </c>
    </row>
    <row r="13" spans="1:3">
      <c r="A13" s="4">
        <f>'Normalized Transmission Costs'!A48</f>
        <v>30</v>
      </c>
      <c r="B13" s="9">
        <f>'Normalized Transmission Costs'!D48</f>
        <v>1469965.8178646616</v>
      </c>
      <c r="C13" s="13">
        <f>'Normalized Transmission Costs'!J48</f>
        <v>269812.7952397851</v>
      </c>
    </row>
    <row r="14" spans="1:3">
      <c r="A14" s="4">
        <f>'Normalized Transmission Costs'!A49</f>
        <v>32</v>
      </c>
      <c r="B14" s="9">
        <f>'Normalized Transmission Costs'!D49</f>
        <v>1727344.8317789666</v>
      </c>
      <c r="C14" s="13">
        <f>'Normalized Transmission Costs'!J49</f>
        <v>292968.24542356405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Source_Index</vt:lpstr>
      <vt:lpstr>Assumptions and Parameters Pipe</vt:lpstr>
      <vt:lpstr>Transition Accelerator Pipe</vt:lpstr>
      <vt:lpstr>Assumptions and Parameter Comp</vt:lpstr>
      <vt:lpstr>Transition Accelerator Compress</vt:lpstr>
      <vt:lpstr>Normalized Transmission Costs</vt:lpstr>
      <vt:lpstr>Normalized CAPEX</vt:lpstr>
      <vt:lpstr>Normalized Variable OPEX</vt:lpstr>
      <vt:lpstr>Normalized Fixed OPEX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Vigars</dc:creator>
  <cp:lastModifiedBy>Andrew Vigars</cp:lastModifiedBy>
  <dcterms:created xsi:type="dcterms:W3CDTF">2026-07-14T20:08:23Z</dcterms:created>
  <dcterms:modified xsi:type="dcterms:W3CDTF">2026-07-22T17:35:19Z</dcterms:modified>
</cp:coreProperties>
</file>