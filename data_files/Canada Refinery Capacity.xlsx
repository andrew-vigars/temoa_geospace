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agorodrigues/Documents/CANOE/CANOE_geospatial/data_files/"/>
    </mc:Choice>
  </mc:AlternateContent>
  <xr:revisionPtr revIDLastSave="0" documentId="13_ncr:1_{F8B673BF-CB63-0747-B040-C0CBEB4BCC30}" xr6:coauthVersionLast="47" xr6:coauthVersionMax="47" xr10:uidLastSave="{00000000-0000-0000-0000-000000000000}"/>
  <bookViews>
    <workbookView xWindow="-400" yWindow="4740" windowWidth="27240" windowHeight="16440" xr2:uid="{5BC2553F-A83E-4242-A264-FAF142E4FD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J4" i="1"/>
  <c r="J6" i="1"/>
  <c r="J7" i="1"/>
  <c r="J8" i="1"/>
  <c r="J2" i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<sst xmlns="http://schemas.openxmlformats.org/spreadsheetml/2006/main" count="82" uniqueCount="63">
  <si>
    <t>NAME</t>
  </si>
  <si>
    <t>OPERATOR</t>
  </si>
  <si>
    <t>LOCATION</t>
  </si>
  <si>
    <t>START-UP</t>
  </si>
  <si>
    <t>NEWFOUNDLAND &amp; LABRADOR</t>
  </si>
  <si>
    <t>Braya Renewable Fuels Refinery</t>
  </si>
  <si>
    <t>Braya Renewable Fuels</t>
  </si>
  <si>
    <t>Come By Chance, NL</t>
  </si>
  <si>
    <t>NOTE 8</t>
  </si>
  <si>
    <t>NEW BRUNSWICK</t>
  </si>
  <si>
    <t>Irving Oil Refinery</t>
  </si>
  <si>
    <t>Irving Oil</t>
  </si>
  <si>
    <t>Saint John, NB</t>
  </si>
  <si>
    <t>QUEBEC</t>
  </si>
  <si>
    <t>Montreal Refinery</t>
  </si>
  <si>
    <t>Suncor Energy</t>
  </si>
  <si>
    <t>Montreal, QC</t>
  </si>
  <si>
    <t>Jean-Gaulin Refinery</t>
  </si>
  <si>
    <t>Valero (Ultramar)</t>
  </si>
  <si>
    <t>Lévis, QC</t>
  </si>
  <si>
    <t>ONTARIO</t>
  </si>
  <si>
    <t>Nanticoke Refinery</t>
  </si>
  <si>
    <t>Imperial Oil</t>
  </si>
  <si>
    <t>Nanticoke, ON</t>
  </si>
  <si>
    <t>Sarnia Refinery</t>
  </si>
  <si>
    <t>Sarnia, ON</t>
  </si>
  <si>
    <t>Corunna Refinery</t>
  </si>
  <si>
    <t>Shell Canada</t>
  </si>
  <si>
    <t>St. Clair, ON</t>
  </si>
  <si>
    <r>
      <t>Clarkson Refinery</t>
    </r>
    <r>
      <rPr>
        <vertAlign val="superscript"/>
        <sz val="12"/>
        <color rgb="FF0E3A62"/>
        <rFont val="Proxima-nova"/>
      </rPr>
      <t> [2]</t>
    </r>
  </si>
  <si>
    <t>Hollyfrontier</t>
  </si>
  <si>
    <t>Mississauga, ON</t>
  </si>
  <si>
    <t>SASKATCHEWAN</t>
  </si>
  <si>
    <t>Co-op Refinery</t>
  </si>
  <si>
    <t>FCL</t>
  </si>
  <si>
    <t>Regina, SK</t>
  </si>
  <si>
    <r>
      <t>Moose Jaw Refinery</t>
    </r>
    <r>
      <rPr>
        <vertAlign val="superscript"/>
        <sz val="12"/>
        <color rgb="FF0E3A62"/>
        <rFont val="Proxima-nova"/>
      </rPr>
      <t> [6]</t>
    </r>
  </si>
  <si>
    <t>Gibson Energy</t>
  </si>
  <si>
    <t>Moose Jaw, SK</t>
  </si>
  <si>
    <t>ALBERTA</t>
  </si>
  <si>
    <t>Strathcona Refinery</t>
  </si>
  <si>
    <t>Edmonton, AB</t>
  </si>
  <si>
    <t>Scotford Refinery</t>
  </si>
  <si>
    <t>Strathcona County, AB</t>
  </si>
  <si>
    <t>Edmonton Refinery</t>
  </si>
  <si>
    <r>
      <t>Lloydminster Refinery</t>
    </r>
    <r>
      <rPr>
        <vertAlign val="superscript"/>
        <sz val="12"/>
        <color rgb="FF0E3A62"/>
        <rFont val="Proxima-nova"/>
      </rPr>
      <t> [1]</t>
    </r>
  </si>
  <si>
    <t>Cenovus Energy</t>
  </si>
  <si>
    <t>Lloydminster, AB</t>
  </si>
  <si>
    <r>
      <t>Sturgeon Refinery</t>
    </r>
    <r>
      <rPr>
        <vertAlign val="superscript"/>
        <sz val="12"/>
        <color rgb="FF0E3A62"/>
        <rFont val="Proxima-nova"/>
      </rPr>
      <t> [7]</t>
    </r>
  </si>
  <si>
    <t>NWR Partnership</t>
  </si>
  <si>
    <t>Sturgeon County, AB</t>
  </si>
  <si>
    <t>BRITISH COLUMBIA</t>
  </si>
  <si>
    <t>Burnaby Refinery</t>
  </si>
  <si>
    <r>
      <t>Parkland</t>
    </r>
    <r>
      <rPr>
        <vertAlign val="superscript"/>
        <sz val="12"/>
        <color rgb="FF0E3A62"/>
        <rFont val="Proxima-nova"/>
      </rPr>
      <t> [3]</t>
    </r>
  </si>
  <si>
    <t>Burnaby, BC</t>
  </si>
  <si>
    <t>Prince George Refinery</t>
  </si>
  <si>
    <r>
      <t>Tidewater Midstream</t>
    </r>
    <r>
      <rPr>
        <vertAlign val="superscript"/>
        <sz val="12"/>
        <color rgb="FF0E3A62"/>
        <rFont val="Proxima-nova"/>
      </rPr>
      <t> [5]</t>
    </r>
  </si>
  <si>
    <t>Prince George, BC</t>
  </si>
  <si>
    <r>
      <t>TOTAL CANADIAN REFINING CAPACITY (CRUDE FEEDSTOCK)</t>
    </r>
    <r>
      <rPr>
        <b/>
        <vertAlign val="superscript"/>
        <sz val="12"/>
        <color theme="1"/>
        <rFont val="Proxima-nova"/>
      </rPr>
      <t> [4]</t>
    </r>
  </si>
  <si>
    <t>CAPACITY (bbl/day)</t>
  </si>
  <si>
    <t>Province</t>
  </si>
  <si>
    <t>Total Capacity</t>
  </si>
  <si>
    <t>&lt;- Clarkson lubes refinery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</si>
</sst>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0E3A62"/>
      <name val="Proxima-nova"/>
    </font>
    <font>
      <b/>
      <sz val="12"/>
      <color rgb="FF5682B4"/>
      <name val="Proxima-nova"/>
    </font>
    <font>
      <sz val="13"/>
      <color rgb="FF0E3A62"/>
      <name val="Proxima-nova"/>
    </font>
    <font>
      <vertAlign val="superscript"/>
      <sz val="12"/>
      <color rgb="FF0E3A62"/>
      <name val="Proxima-nova"/>
    </font>
    <font>
      <b/>
      <sz val="12"/>
      <color theme="1"/>
      <name val="Proxima-nova"/>
    </font>
    <font>
      <b/>
      <vertAlign val="superscript"/>
      <sz val="12"/>
      <color theme="1"/>
      <name val="Proxima-no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3" fontId="1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0" fillId="0" borderId="0" xfId="0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22</xdr:row>
      <xdr:rowOff>76200</xdr:rowOff>
    </xdr:from>
    <xdr:to>
      <xdr:col>3</xdr:col>
      <xdr:colOff>899139</xdr:colOff>
      <xdr:row>31</xdr:row>
      <xdr:rowOff>47056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27F02-E7F5-8491-3387-FF2A9B3A7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4737100"/>
          <a:ext cx="7249139" cy="1799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F1F4-3866-A947-9E34-5191CAE50AC5}">
  <dimension ref="A1:K21"/>
  <sheetViews>
    <sheetView tabSelected="1" zoomScale="93" workbookViewId="0">
      <selection activeCell="K5" sqref="K5"/>
    </sheetView>
  </sheetViews>
  <sheetFormatPr baseColWidth="10" defaultRowHeight="16"/>
  <cols>
    <col min="1" max="1" width="35.1640625" customWidth="1"/>
    <col min="2" max="2" width="26.6640625" customWidth="1"/>
    <col min="3" max="3" width="21.6640625" customWidth="1"/>
    <col min="4" max="4" width="19.83203125" bestFit="1" customWidth="1"/>
    <col min="5" max="5" width="11.33203125" bestFit="1" customWidth="1"/>
    <col min="6" max="6" width="11.5" bestFit="1" customWidth="1"/>
    <col min="10" max="10" width="11.5" bestFit="1" customWidth="1"/>
  </cols>
  <sheetData>
    <row r="1" spans="1:11">
      <c r="A1" t="s">
        <v>60</v>
      </c>
      <c r="B1" s="8" t="s">
        <v>0</v>
      </c>
      <c r="C1" s="8" t="s">
        <v>1</v>
      </c>
      <c r="D1" s="8" t="s">
        <v>2</v>
      </c>
      <c r="E1" s="8" t="s">
        <v>3</v>
      </c>
      <c r="F1" s="5" t="s">
        <v>59</v>
      </c>
      <c r="I1" s="5" t="s">
        <v>61</v>
      </c>
    </row>
    <row r="2" spans="1:11">
      <c r="I2" t="str" cm="1">
        <f t="array" ref="I2:I8">_xlfn.UNIQUE(A3:A20)</f>
        <v>NEWFOUNDLAND &amp; LABRADOR</v>
      </c>
      <c r="J2" s="4">
        <f>SUMIF($A$3:$A$20,I2,$F$3:$F$20)</f>
        <v>0</v>
      </c>
    </row>
    <row r="3" spans="1:11" ht="17">
      <c r="A3" s="1" t="s">
        <v>4</v>
      </c>
      <c r="B3" s="2" t="s">
        <v>5</v>
      </c>
      <c r="C3" s="2" t="s">
        <v>6</v>
      </c>
      <c r="D3" s="2" t="s">
        <v>7</v>
      </c>
      <c r="E3" s="2">
        <v>1973</v>
      </c>
      <c r="F3" s="3" t="s">
        <v>8</v>
      </c>
      <c r="I3" t="str">
        <v>NEW BRUNSWICK</v>
      </c>
      <c r="J3" s="4">
        <f t="shared" ref="J3:J8" si="0">SUMIF($A$3:$A$20,I3,$F$3:$F$20)</f>
        <v>320000</v>
      </c>
    </row>
    <row r="4" spans="1:11">
      <c r="A4" s="1" t="s">
        <v>9</v>
      </c>
      <c r="B4" s="2" t="s">
        <v>10</v>
      </c>
      <c r="C4" s="2" t="s">
        <v>11</v>
      </c>
      <c r="D4" s="2" t="s">
        <v>12</v>
      </c>
      <c r="E4" s="2">
        <v>1960</v>
      </c>
      <c r="F4" s="4">
        <v>320000</v>
      </c>
      <c r="I4" t="str">
        <v>QUEBEC</v>
      </c>
      <c r="J4" s="4">
        <f t="shared" si="0"/>
        <v>372000</v>
      </c>
    </row>
    <row r="5" spans="1:11">
      <c r="A5" s="1" t="s">
        <v>13</v>
      </c>
      <c r="B5" s="2" t="s">
        <v>14</v>
      </c>
      <c r="C5" s="2" t="s">
        <v>15</v>
      </c>
      <c r="D5" s="2" t="s">
        <v>16</v>
      </c>
      <c r="E5" s="2">
        <v>1955</v>
      </c>
      <c r="F5" s="4">
        <v>137000</v>
      </c>
      <c r="I5" t="str">
        <v>ONTARIO</v>
      </c>
      <c r="J5" s="4">
        <f>SUMIF($A$3:$A$20,I5,$F$3:$F$20)-F10</f>
        <v>393000</v>
      </c>
      <c r="K5" t="s">
        <v>62</v>
      </c>
    </row>
    <row r="6" spans="1:11">
      <c r="A6" s="1" t="s">
        <v>13</v>
      </c>
      <c r="B6" s="2" t="s">
        <v>17</v>
      </c>
      <c r="C6" s="2" t="s">
        <v>18</v>
      </c>
      <c r="D6" s="2" t="s">
        <v>19</v>
      </c>
      <c r="E6" s="2">
        <v>1971</v>
      </c>
      <c r="F6" s="4">
        <v>235000</v>
      </c>
      <c r="I6" t="str">
        <v>SASKATCHEWAN</v>
      </c>
      <c r="J6" s="4">
        <f t="shared" si="0"/>
        <v>157000</v>
      </c>
    </row>
    <row r="7" spans="1:11">
      <c r="A7" s="1" t="s">
        <v>20</v>
      </c>
      <c r="B7" s="2" t="s">
        <v>21</v>
      </c>
      <c r="C7" s="2" t="s">
        <v>22</v>
      </c>
      <c r="D7" s="2" t="s">
        <v>23</v>
      </c>
      <c r="E7" s="2">
        <v>1978</v>
      </c>
      <c r="F7" s="4">
        <v>112000</v>
      </c>
      <c r="I7" t="str">
        <v>ALBERTA</v>
      </c>
      <c r="J7" s="4">
        <f t="shared" si="0"/>
        <v>560000</v>
      </c>
    </row>
    <row r="8" spans="1:11">
      <c r="A8" s="1" t="s">
        <v>20</v>
      </c>
      <c r="B8" s="2" t="s">
        <v>24</v>
      </c>
      <c r="C8" s="2" t="s">
        <v>22</v>
      </c>
      <c r="D8" s="2" t="s">
        <v>25</v>
      </c>
      <c r="E8" s="2">
        <v>1897</v>
      </c>
      <c r="F8" s="4">
        <v>121000</v>
      </c>
      <c r="I8" t="str">
        <v>BRITISH COLUMBIA</v>
      </c>
      <c r="J8" s="4">
        <f t="shared" si="0"/>
        <v>67000</v>
      </c>
    </row>
    <row r="9" spans="1:11">
      <c r="A9" s="1" t="s">
        <v>20</v>
      </c>
      <c r="B9" s="2" t="s">
        <v>26</v>
      </c>
      <c r="C9" s="2" t="s">
        <v>27</v>
      </c>
      <c r="D9" s="2" t="s">
        <v>28</v>
      </c>
      <c r="E9" s="2">
        <v>1952</v>
      </c>
      <c r="F9" s="4">
        <v>75000</v>
      </c>
    </row>
    <row r="10" spans="1:11" ht="18">
      <c r="A10" s="1" t="s">
        <v>20</v>
      </c>
      <c r="B10" s="2" t="s">
        <v>29</v>
      </c>
      <c r="C10" s="2" t="s">
        <v>30</v>
      </c>
      <c r="D10" s="2" t="s">
        <v>31</v>
      </c>
      <c r="E10" s="2">
        <v>1943</v>
      </c>
      <c r="F10" s="4">
        <v>15600</v>
      </c>
    </row>
    <row r="11" spans="1:11">
      <c r="A11" s="1" t="s">
        <v>20</v>
      </c>
      <c r="B11" s="2" t="s">
        <v>24</v>
      </c>
      <c r="C11" s="2" t="s">
        <v>15</v>
      </c>
      <c r="D11" s="2" t="s">
        <v>25</v>
      </c>
      <c r="E11" s="2">
        <v>1953</v>
      </c>
      <c r="F11" s="4">
        <v>85000</v>
      </c>
    </row>
    <row r="12" spans="1:11">
      <c r="A12" s="1" t="s">
        <v>32</v>
      </c>
      <c r="B12" s="2" t="s">
        <v>33</v>
      </c>
      <c r="C12" s="2" t="s">
        <v>34</v>
      </c>
      <c r="D12" s="2" t="s">
        <v>35</v>
      </c>
      <c r="E12" s="2">
        <v>1935</v>
      </c>
      <c r="F12" s="4">
        <v>135000</v>
      </c>
    </row>
    <row r="13" spans="1:11" ht="18">
      <c r="A13" s="1" t="s">
        <v>32</v>
      </c>
      <c r="B13" s="2" t="s">
        <v>36</v>
      </c>
      <c r="C13" s="2" t="s">
        <v>37</v>
      </c>
      <c r="D13" s="2" t="s">
        <v>38</v>
      </c>
      <c r="E13" s="2">
        <v>1934</v>
      </c>
      <c r="F13" s="4">
        <v>22000</v>
      </c>
    </row>
    <row r="14" spans="1:11">
      <c r="A14" s="1" t="s">
        <v>39</v>
      </c>
      <c r="B14" s="2" t="s">
        <v>40</v>
      </c>
      <c r="C14" s="2" t="s">
        <v>22</v>
      </c>
      <c r="D14" s="2" t="s">
        <v>41</v>
      </c>
      <c r="E14" s="2">
        <v>1974</v>
      </c>
      <c r="F14" s="4">
        <v>191000</v>
      </c>
    </row>
    <row r="15" spans="1:11">
      <c r="A15" s="1" t="s">
        <v>39</v>
      </c>
      <c r="B15" s="2" t="s">
        <v>42</v>
      </c>
      <c r="C15" s="2" t="s">
        <v>27</v>
      </c>
      <c r="D15" s="2" t="s">
        <v>43</v>
      </c>
      <c r="E15" s="2">
        <v>1984</v>
      </c>
      <c r="F15" s="4">
        <v>114000</v>
      </c>
    </row>
    <row r="16" spans="1:11">
      <c r="A16" s="1" t="s">
        <v>39</v>
      </c>
      <c r="B16" s="2" t="s">
        <v>44</v>
      </c>
      <c r="C16" s="2" t="s">
        <v>15</v>
      </c>
      <c r="D16" s="2" t="s">
        <v>41</v>
      </c>
      <c r="E16" s="2">
        <v>1951</v>
      </c>
      <c r="F16" s="4">
        <v>146000</v>
      </c>
    </row>
    <row r="17" spans="1:6" ht="18">
      <c r="A17" s="1" t="s">
        <v>39</v>
      </c>
      <c r="B17" s="2" t="s">
        <v>45</v>
      </c>
      <c r="C17" s="2" t="s">
        <v>46</v>
      </c>
      <c r="D17" s="2" t="s">
        <v>47</v>
      </c>
      <c r="E17" s="2">
        <v>1947</v>
      </c>
      <c r="F17" s="4">
        <v>30000</v>
      </c>
    </row>
    <row r="18" spans="1:6" ht="18">
      <c r="A18" s="1" t="s">
        <v>39</v>
      </c>
      <c r="B18" s="2" t="s">
        <v>48</v>
      </c>
      <c r="C18" s="2" t="s">
        <v>49</v>
      </c>
      <c r="D18" s="2" t="s">
        <v>50</v>
      </c>
      <c r="E18" s="2">
        <v>2020</v>
      </c>
      <c r="F18" s="4">
        <v>79000</v>
      </c>
    </row>
    <row r="19" spans="1:6" ht="18">
      <c r="A19" s="1" t="s">
        <v>51</v>
      </c>
      <c r="B19" s="2" t="s">
        <v>52</v>
      </c>
      <c r="C19" s="2" t="s">
        <v>53</v>
      </c>
      <c r="D19" s="2" t="s">
        <v>54</v>
      </c>
      <c r="E19" s="2">
        <v>1936</v>
      </c>
      <c r="F19" s="4">
        <v>55000</v>
      </c>
    </row>
    <row r="20" spans="1:6" ht="18">
      <c r="A20" s="1" t="s">
        <v>51</v>
      </c>
      <c r="B20" s="2" t="s">
        <v>55</v>
      </c>
      <c r="C20" s="2" t="s">
        <v>56</v>
      </c>
      <c r="D20" s="2" t="s">
        <v>57</v>
      </c>
      <c r="E20" s="2">
        <v>1967</v>
      </c>
      <c r="F20" s="4">
        <v>12000</v>
      </c>
    </row>
    <row r="21" spans="1:6" ht="18">
      <c r="A21" s="5" t="s">
        <v>58</v>
      </c>
      <c r="D21" s="7"/>
      <c r="E21" s="7"/>
      <c r="F21" s="6">
        <v>1869000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Augusto Rodrigues</dc:creator>
  <cp:lastModifiedBy>Thiago Augusto Rodrigues</cp:lastModifiedBy>
  <dcterms:created xsi:type="dcterms:W3CDTF">2025-10-24T15:19:13Z</dcterms:created>
  <dcterms:modified xsi:type="dcterms:W3CDTF">2025-10-25T16:21:58Z</dcterms:modified>
</cp:coreProperties>
</file>